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alma\OneDrive\Desktop\"/>
    </mc:Choice>
  </mc:AlternateContent>
  <xr:revisionPtr revIDLastSave="0" documentId="13_ncr:1_{D2A15FB7-4F80-461D-A3DD-AFB32C9A0632}" xr6:coauthVersionLast="47" xr6:coauthVersionMax="47" xr10:uidLastSave="{00000000-0000-0000-0000-000000000000}"/>
  <bookViews>
    <workbookView xWindow="-108" yWindow="-108" windowWidth="23256" windowHeight="12456" xr2:uid="{BA325CF2-DC87-4B76-A91F-962E865DA90F}"/>
  </bookViews>
  <sheets>
    <sheet name="AmazonDB" sheetId="2" r:id="rId1"/>
    <sheet name="Dashboard" sheetId="11" r:id="rId2"/>
    <sheet name="All_Pivots" sheetId="17" r:id="rId3"/>
    <sheet name="Report" sheetId="19" r:id="rId4"/>
  </sheets>
  <definedNames>
    <definedName name="ExternalData_1" localSheetId="0" hidden="1">AmazonDB!$A$1:$H$251</definedName>
    <definedName name="Slicer_Category">#N/A</definedName>
    <definedName name="Slicer_Country">#N/A</definedName>
    <definedName name="Slicer_CustomerName">#N/A</definedName>
  </definedNames>
  <calcPr calcId="191029"/>
  <pivotCaches>
    <pivotCache cacheId="0" r:id="rId5"/>
    <pivotCache cacheId="6"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11" l="1" a="1"/>
  <c r="H3" i="11" s="1"/>
  <c r="E3" i="11"/>
  <c r="B3" i="1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628F1D-998A-48AC-9EEF-55E5C8CF0966}" keepAlive="1" name="Query - AmazonDB" description="Connection to the 'AmazonDB' query in the workbook." type="5" refreshedVersion="8" background="1" saveData="1">
    <dbPr connection="Provider=Microsoft.Mashup.OleDb.1;Data Source=$Workbook$;Location=AmazonDB;Extended Properties=&quot;&quot;" command="SELECT * FROM [AmazonDB]"/>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<sst xmlns="http://schemas.openxmlformats.org/spreadsheetml/2006/main" count="1326" uniqueCount="294">
  <si>
    <t>OrderDate</t>
  </si>
  <si>
    <t>CustomerName</t>
  </si>
  <si>
    <t>ProductName</t>
  </si>
  <si>
    <t>Category</t>
  </si>
  <si>
    <t>Quantity</t>
  </si>
  <si>
    <t>UnitPrice</t>
  </si>
  <si>
    <t>TotalAmount</t>
  </si>
  <si>
    <t>Country</t>
  </si>
  <si>
    <t>Vihaan Sharma</t>
  </si>
  <si>
    <t>Drone Mini</t>
  </si>
  <si>
    <t>Books</t>
  </si>
  <si>
    <t>India</t>
  </si>
  <si>
    <t>Pooja Kumar</t>
  </si>
  <si>
    <t>Microphone</t>
  </si>
  <si>
    <t>Home &amp; Kitchen</t>
  </si>
  <si>
    <t>United States</t>
  </si>
  <si>
    <t>Sneha Singh</t>
  </si>
  <si>
    <t>Power Bank 20000mAh</t>
  </si>
  <si>
    <t>Clothing</t>
  </si>
  <si>
    <t>Vihaan Reddy</t>
  </si>
  <si>
    <t>Webcam Full HD</t>
  </si>
  <si>
    <t>Aditya Kapoor</t>
  </si>
  <si>
    <t>T-Shirt</t>
  </si>
  <si>
    <t>Canada</t>
  </si>
  <si>
    <t>Karan Sharma</t>
  </si>
  <si>
    <t>Cookware Set</t>
  </si>
  <si>
    <t>Aarav Verma</t>
  </si>
  <si>
    <t>Dress Shirt</t>
  </si>
  <si>
    <t>Australia</t>
  </si>
  <si>
    <t>Rohit Kumar</t>
  </si>
  <si>
    <t>Jeans</t>
  </si>
  <si>
    <t>Toys &amp; Games</t>
  </si>
  <si>
    <t>Aman Kapoor</t>
  </si>
  <si>
    <t>Kids Toy Car</t>
  </si>
  <si>
    <t>Sports &amp; Outdoors</t>
  </si>
  <si>
    <t>Aarav Reddy</t>
  </si>
  <si>
    <t>Wireless Earbuds</t>
  </si>
  <si>
    <t>Rohit Reddy</t>
  </si>
  <si>
    <t>Car Charger</t>
  </si>
  <si>
    <t>Karan Kumar</t>
  </si>
  <si>
    <t>Projector Mini</t>
  </si>
  <si>
    <t>Simran Kapoor</t>
  </si>
  <si>
    <t>Vacuum Cleaner</t>
  </si>
  <si>
    <t>Pooja Sharma</t>
  </si>
  <si>
    <t>Mohit Mehta</t>
  </si>
  <si>
    <t>Desk Plant</t>
  </si>
  <si>
    <t>Anjali Gupta</t>
  </si>
  <si>
    <t>Arjun Kumar</t>
  </si>
  <si>
    <t>Running Shoes</t>
  </si>
  <si>
    <t>Anjali Verma</t>
  </si>
  <si>
    <t>Graphic Tablet</t>
  </si>
  <si>
    <t>Aditya Mehta</t>
  </si>
  <si>
    <t>Puzzle 1000pc</t>
  </si>
  <si>
    <t>Electronics</t>
  </si>
  <si>
    <t>Vihaan Patel</t>
  </si>
  <si>
    <t>Vikas Kapoor</t>
  </si>
  <si>
    <t>Smartwatch</t>
  </si>
  <si>
    <t>Simran Reddy</t>
  </si>
  <si>
    <t>Smartphone Case</t>
  </si>
  <si>
    <t>Vihaan Mehta</t>
  </si>
  <si>
    <t>Backpack</t>
  </si>
  <si>
    <t>Aditya Reddy</t>
  </si>
  <si>
    <t>4K Monitor</t>
  </si>
  <si>
    <t>Priya Kapoor</t>
  </si>
  <si>
    <t>Smart Light Bulb</t>
  </si>
  <si>
    <t>Rohit Verma</t>
  </si>
  <si>
    <t>LED Desk Lamp</t>
  </si>
  <si>
    <t>United Kingdom</t>
  </si>
  <si>
    <t>Vivaan Kumar</t>
  </si>
  <si>
    <t>Priya Verma</t>
  </si>
  <si>
    <t>Phone Tripod</t>
  </si>
  <si>
    <t>Sneha Verma</t>
  </si>
  <si>
    <t>Sunita Gupta</t>
  </si>
  <si>
    <t>Gaming Mouse</t>
  </si>
  <si>
    <t>Simran Patel</t>
  </si>
  <si>
    <t>Memory Card 128GB</t>
  </si>
  <si>
    <t>Mohit Patel</t>
  </si>
  <si>
    <t>Vikas Kumar</t>
  </si>
  <si>
    <t>Pooja Verma</t>
  </si>
  <si>
    <t>Kabir Singh</t>
  </si>
  <si>
    <t>Board Game</t>
  </si>
  <si>
    <t>Sahil Kumar</t>
  </si>
  <si>
    <t>Instant Pot</t>
  </si>
  <si>
    <t>Mohit Joshi</t>
  </si>
  <si>
    <t>Anjali Sharma</t>
  </si>
  <si>
    <t>Water Bottle</t>
  </si>
  <si>
    <t>Sneha Sharma</t>
  </si>
  <si>
    <t>Anjali Mehta</t>
  </si>
  <si>
    <t>Rohit Kapoor</t>
  </si>
  <si>
    <t>Portable SSD 1TB</t>
  </si>
  <si>
    <t>Anjali Kumar</t>
  </si>
  <si>
    <t>Neha Mehta</t>
  </si>
  <si>
    <t>Simran Singh</t>
  </si>
  <si>
    <t>Pooja Singh</t>
  </si>
  <si>
    <t>Noise Cancelling Headphones</t>
  </si>
  <si>
    <t>Sneha Reddy</t>
  </si>
  <si>
    <t>Sahil Gupta</t>
  </si>
  <si>
    <t>Ritika Mehta</t>
  </si>
  <si>
    <t>Novel Bestseller</t>
  </si>
  <si>
    <t>Children's Book</t>
  </si>
  <si>
    <t>Arjun Reddy</t>
  </si>
  <si>
    <t>Neha Verma</t>
  </si>
  <si>
    <t>Vivaan Verma</t>
  </si>
  <si>
    <t>Laptop Sleeve</t>
  </si>
  <si>
    <t>Arjun Singh</t>
  </si>
  <si>
    <t>Air Fryer</t>
  </si>
  <si>
    <t>Karan Kapoor</t>
  </si>
  <si>
    <t>Winter Jacket</t>
  </si>
  <si>
    <t>Router</t>
  </si>
  <si>
    <t>Sunita Kapoor</t>
  </si>
  <si>
    <t>USB-C Charger</t>
  </si>
  <si>
    <t>Pooja Reddy</t>
  </si>
  <si>
    <t>Priya Mehta</t>
  </si>
  <si>
    <t>Aarav Gupta</t>
  </si>
  <si>
    <t>Aman Singh</t>
  </si>
  <si>
    <t>Aman Verma</t>
  </si>
  <si>
    <t>Fitness Band</t>
  </si>
  <si>
    <t>Priya Reddy</t>
  </si>
  <si>
    <t>Kabir Kumar</t>
  </si>
  <si>
    <t>Arjun Patel</t>
  </si>
  <si>
    <t>Mohit Reddy</t>
  </si>
  <si>
    <t>Aman Sharma</t>
  </si>
  <si>
    <t>Sunglasses</t>
  </si>
  <si>
    <t>Kabir Patel</t>
  </si>
  <si>
    <t>Neha Sharma</t>
  </si>
  <si>
    <t>Mechanical Keyboard</t>
  </si>
  <si>
    <t>Priya Kumar</t>
  </si>
  <si>
    <t>Ritika Verma</t>
  </si>
  <si>
    <t>Aditya Joshi</t>
  </si>
  <si>
    <t>Electric Kettle</t>
  </si>
  <si>
    <t>Neha Reddy</t>
  </si>
  <si>
    <t>Mohit Gupta</t>
  </si>
  <si>
    <t>Vikas Joshi</t>
  </si>
  <si>
    <t>Aman Joshi</t>
  </si>
  <si>
    <t>Wireless Charger</t>
  </si>
  <si>
    <t>Vihaan Kumar</t>
  </si>
  <si>
    <t>HDMI Cable 2m</t>
  </si>
  <si>
    <t>Ritika Reddy</t>
  </si>
  <si>
    <t>Sneha Kapoor</t>
  </si>
  <si>
    <t>Aditya Sharma</t>
  </si>
  <si>
    <t>Vivaan Patel</t>
  </si>
  <si>
    <t>Sneha Gupta</t>
  </si>
  <si>
    <t>Neha Kumar</t>
  </si>
  <si>
    <t>Sahil Singh</t>
  </si>
  <si>
    <t>Ritika Kapoor</t>
  </si>
  <si>
    <t>Desk Organizer</t>
  </si>
  <si>
    <t>Vikas Mehta</t>
  </si>
  <si>
    <t>Yoga Mat</t>
  </si>
  <si>
    <t>Karan Joshi</t>
  </si>
  <si>
    <t>Vivaan Mehta</t>
  </si>
  <si>
    <t>Sneha Kumar</t>
  </si>
  <si>
    <t>Karan Singh</t>
  </si>
  <si>
    <t>Pooja Joshi</t>
  </si>
  <si>
    <t>Sahil Sharma</t>
  </si>
  <si>
    <t>Aditya Kumar</t>
  </si>
  <si>
    <t>Neha Joshi</t>
  </si>
  <si>
    <t>Rohit Mehta</t>
  </si>
  <si>
    <t>Vivaan Singh</t>
  </si>
  <si>
    <t>Sunita Sharma</t>
  </si>
  <si>
    <t>Simran Gupta</t>
  </si>
  <si>
    <t>Karan Reddy</t>
  </si>
  <si>
    <t>Neha Singh</t>
  </si>
  <si>
    <t>Action Camera</t>
  </si>
  <si>
    <t>Rohit Gupta</t>
  </si>
  <si>
    <t>Rohit Sharma</t>
  </si>
  <si>
    <t>Vivaan Sharma</t>
  </si>
  <si>
    <t>Ritika Joshi</t>
  </si>
  <si>
    <t>Aman Reddy</t>
  </si>
  <si>
    <t>Mohit Sharma</t>
  </si>
  <si>
    <t>Mohit Verma</t>
  </si>
  <si>
    <t>Kabir Verma</t>
  </si>
  <si>
    <t>Sneha Mehta</t>
  </si>
  <si>
    <t>Vihaan Kapoor</t>
  </si>
  <si>
    <t>Kabir Sharma</t>
  </si>
  <si>
    <t>Rohit Patel</t>
  </si>
  <si>
    <t>Sunita Singh</t>
  </si>
  <si>
    <t>Priya Joshi</t>
  </si>
  <si>
    <t>Aarav Joshi</t>
  </si>
  <si>
    <t>Kabir Kapoor</t>
  </si>
  <si>
    <t>Vihaan Verma</t>
  </si>
  <si>
    <t>Aman Gupta</t>
  </si>
  <si>
    <t>External HDD 2TB</t>
  </si>
  <si>
    <t>Vikas Gupta</t>
  </si>
  <si>
    <t>Kabir Reddy</t>
  </si>
  <si>
    <t>Arjun Gupta</t>
  </si>
  <si>
    <t>Office Chair</t>
  </si>
  <si>
    <t>Pooja Gupta</t>
  </si>
  <si>
    <t>Neha Gupta</t>
  </si>
  <si>
    <t>Karan Gupta</t>
  </si>
  <si>
    <t>Anjali Singh</t>
  </si>
  <si>
    <t>Aditya Singh</t>
  </si>
  <si>
    <t>Vivaan Gupta</t>
  </si>
  <si>
    <t>Vikas Sharma</t>
  </si>
  <si>
    <t>Vikas Reddy</t>
  </si>
  <si>
    <t>Mohit Singh</t>
  </si>
  <si>
    <t>Vivaan Joshi</t>
  </si>
  <si>
    <t>Aditya Gupta</t>
  </si>
  <si>
    <t>Bluetooth Speaker</t>
  </si>
  <si>
    <t>Sunita Reddy</t>
  </si>
  <si>
    <t>Vihaan Gupta</t>
  </si>
  <si>
    <t>Mohit Kapoor</t>
  </si>
  <si>
    <t>Karan Patel</t>
  </si>
  <si>
    <t>Ritika Kumar</t>
  </si>
  <si>
    <t>Karan Verma</t>
  </si>
  <si>
    <t>Anjali Kapoor</t>
  </si>
  <si>
    <t>Karan Mehta</t>
  </si>
  <si>
    <t>Ritika Gupta</t>
  </si>
  <si>
    <t>Simran Joshi</t>
  </si>
  <si>
    <t>Simran Kumar</t>
  </si>
  <si>
    <t>Row Labels</t>
  </si>
  <si>
    <t>Grand Total</t>
  </si>
  <si>
    <t>Sum of TotalAmount</t>
  </si>
  <si>
    <t>Month</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</si>
  <si>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</si>
  <si>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</si>
  <si>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</si>
  <si>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</si>
  <si>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</si>
  <si>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</si>
  <si>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</si>
  <si>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</si>
  <si>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</si>
  <si>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</si>
  <si>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</si>
  <si>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</si>
  <si>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</si>
  <si>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</si>
  <si>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</si>
  <si>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</si>
  <si>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</si>
  <si>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</si>
  <si>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</si>
  <si>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</si>
  <si>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</si>
  <si>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</si>
  <si>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</si>
  <si>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</si>
  <si>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</si>
  <si>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</si>
  <si>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</si>
  <si>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</si>
  <si>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</si>
  <si>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</si>
  <si>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</si>
  <si>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</si>
  <si>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</si>
  <si>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</si>
  <si>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</si>
  <si>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</si>
  <si>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</si>
  <si>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</si>
  <si>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</si>
  <si>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</si>
  <si>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</si>
  <si>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</si>
  <si>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</si>
  <si>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</si>
  <si>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</si>
  <si>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</si>
  <si>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</si>
  <si>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</si>
  <si>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</si>
  <si>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</si>
  <si>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</si>
  <si>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</si>
  <si>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</si>
  <si>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</si>
  <si>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</si>
  <si>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</si>
  <si>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</si>
  <si>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</si>
  <si>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</si>
  <si>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</si>
  <si>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 Sales Dashboard</t>
  </si>
  <si>
    <t>TOTAL SALES</t>
  </si>
  <si>
    <t>TOTAL ORDERS</t>
  </si>
  <si>
    <t>🏆 Top Products</t>
  </si>
  <si>
    <t>📈 Sales Over Time</t>
  </si>
  <si>
    <t>📦 Sales by Category</t>
  </si>
  <si>
    <t>🌍 Sales by Country</t>
  </si>
  <si>
    <t>🔍 FILTERS</t>
  </si>
  <si>
    <t>NUMBER OF CUSTOMERS</t>
  </si>
  <si>
    <t>1. Top Products</t>
  </si>
  <si>
    <t>2. Categories</t>
  </si>
  <si>
    <t>3. Sales Over Time</t>
  </si>
  <si>
    <t>4. Countries</t>
  </si>
  <si>
    <t>5. Top Customers</t>
  </si>
  <si>
    <t>Total Sales</t>
  </si>
  <si>
    <t>(Multiple Items)</t>
  </si>
  <si>
    <t>Detailed Sales Report — Focus: Australia (Weakest Market)</t>
  </si>
  <si>
    <t>Number of Orders</t>
  </si>
  <si>
    <t>Key Actionable Recommendations:</t>
  </si>
  <si>
    <t>1. Launch a re-engagement campaign in Australia: only 12 orders with no repeat customers and avg order $769 — offer loyalty discounts and product bundles to lift order frequency and basket size.</t>
  </si>
  <si>
    <t>2. Replicate the U.S. playbook in UK &amp; Canada: U.S. has 172 orders vs only 15 (UK) and 17 (Canada) — increase localized marketing and free-shipping promotions to grow these mid-tier 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</si>
</sst>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quot;$&quot;#,##0.00\);\-"/>
  </numFmts>
  <fonts count="11" x14ac:knownFonts="1">
    <font>
      <sz val="11"/>
      <color theme="1"/>
      <name val="Aptos Narrow"/>
      <family val="2"/>
      <scheme val="minor"/>
    </font>
    <font>
      <b/>
      <sz val="11"/>
      <color rgb="FFFFFFFF"/>
      <name val="Aptos Narrow"/>
      <family val="2"/>
      <scheme val="minor"/>
    </font>
    <font>
      <b/>
      <sz val="24"/>
      <color rgb="FFFFFFFF"/>
      <name val="Aptos Narrow"/>
      <family val="2"/>
      <scheme val="minor"/>
    </font>
    <font>
      <b/>
      <sz val="22"/>
      <color rgb="FFFFFFFF"/>
      <name val="Aptos Narrow"/>
      <family val="2"/>
      <scheme val="minor"/>
    </font>
    <font>
      <b/>
      <sz val="13"/>
      <color rgb="FF1F3864"/>
      <name val="Aptos Narrow"/>
      <family val="2"/>
      <scheme val="minor"/>
    </font>
    <font>
      <b/>
      <sz val="13"/>
      <color rgb="FFFFFFFF"/>
      <name val="Aptos Narrow"/>
      <family val="2"/>
      <scheme val="minor"/>
    </font>
    <font>
      <b/>
      <sz val="11"/>
      <color theme="1"/>
      <name val="Aptos Narrow"/>
      <family val="2"/>
      <scheme val="minor"/>
    </font>
    <font>
      <b/>
      <sz val="14"/>
      <color theme="1"/>
      <name val="Aptos Narrow"/>
      <family val="2"/>
      <scheme val="minor"/>
    </font>
    <font>
      <b/>
      <i/>
      <sz val="11"/>
      <color rgb="FFC00000"/>
      <name val="Aptos Narrow"/>
      <family val="2"/>
      <scheme val="minor"/>
    </font>
    <font>
      <b/>
      <sz val="12"/>
      <color rgb="FF1F4E78"/>
      <name val="Aptos Narrow"/>
      <family val="2"/>
      <scheme val="minor"/>
    </font>
    <font>
      <sz val="11"/>
      <color rgb="FF000000"/>
      <name val="Aptos Narrow"/>
      <family val="2"/>
      <scheme val="minor"/>
    </font>
  </fonts>
  <fills count="11">
    <fill>
      <patternFill patternType="none"/>
    </fill>
    <fill>
      <patternFill patternType="gray125"/>
    </fill>
    <fill>
      <patternFill patternType="solid">
        <fgColor rgb="FF1F3864"/>
        <bgColor indexed="64"/>
      </patternFill>
    </fill>
    <fill>
      <patternFill patternType="solid">
        <fgColor rgb="FFF4F6FA"/>
        <bgColor indexed="64"/>
      </patternFill>
    </fill>
    <fill>
      <patternFill patternType="solid">
        <fgColor rgb="FF2E75B6"/>
        <bgColor indexed="64"/>
      </patternFill>
    </fill>
    <fill>
      <patternFill patternType="solid">
        <fgColor rgb="FF70AD47"/>
        <bgColor indexed="64"/>
      </patternFill>
    </fill>
    <fill>
      <patternFill patternType="solid">
        <fgColor rgb="FF548235"/>
        <bgColor indexed="64"/>
      </patternFill>
    </fill>
    <fill>
      <patternFill patternType="solid">
        <fgColor rgb="FFED7D31"/>
        <bgColor indexed="64"/>
      </patternFill>
    </fill>
    <fill>
      <patternFill patternType="solid">
        <fgColor rgb="FFC55A11"/>
        <bgColor indexed="64"/>
      </patternFill>
    </fill>
    <fill>
      <patternFill patternType="solid">
        <fgColor rgb="FFFFF2CC"/>
        <bgColor indexed="64"/>
      </patternFill>
    </fill>
    <fill>
      <patternFill patternType="solid">
        <fgColor rgb="FF30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 borderId="0" xfId="0" applyFill="1"/>
    <xf numFmtId="0" fontId="4" fillId="3" borderId="0" xfId="0" applyFont="1" applyFill="1"/>
    <xf numFmtId="0" fontId="5" fillId="2" borderId="0" xfId="0" applyFont="1" applyFill="1"/>
    <xf numFmtId="0" fontId="2" fillId="2" borderId="0" xfId="0" applyFont="1" applyFill="1" applyAlignment="1">
      <alignment horizontal="center" vertical="center"/>
    </xf>
    <xf numFmtId="0" fontId="3" fillId="4" borderId="0" xfId="0" applyFont="1" applyFill="1" applyAlignment="1">
      <alignment horizontal="center" vertical="center"/>
    </xf>
    <xf numFmtId="0" fontId="1" fillId="2" borderId="0" xfId="0" applyFont="1" applyFill="1" applyAlignment="1">
      <alignment horizontal="center"/>
    </xf>
    <xf numFmtId="0" fontId="3" fillId="5" borderId="0" xfId="0" applyFont="1" applyFill="1" applyAlignment="1">
      <alignment horizontal="center" vertical="center"/>
    </xf>
    <xf numFmtId="0" fontId="1" fillId="6" borderId="0" xfId="0" applyFont="1" applyFill="1" applyAlignment="1">
      <alignment horizontal="center"/>
    </xf>
    <xf numFmtId="3" fontId="3" fillId="7" borderId="0" xfId="0" applyNumberFormat="1" applyFont="1" applyFill="1" applyAlignment="1">
      <alignment horizontal="center" vertical="center"/>
    </xf>
    <xf numFmtId="0" fontId="1" fillId="8" borderId="0" xfId="0" applyFont="1" applyFill="1" applyAlignment="1">
      <alignment horizontal="center"/>
    </xf>
    <xf numFmtId="0" fontId="7" fillId="0" borderId="0" xfId="0" applyFont="1"/>
    <xf numFmtId="164" fontId="0" fillId="0" borderId="0" xfId="0" applyNumberFormat="1"/>
    <xf numFmtId="0" fontId="8" fillId="0" borderId="0" xfId="0" applyFont="1"/>
    <xf numFmtId="0" fontId="8" fillId="9" borderId="0" xfId="0" applyFont="1" applyFill="1"/>
    <xf numFmtId="0" fontId="1" fillId="10" borderId="1" xfId="0" applyFont="1" applyFill="1" applyBorder="1" applyAlignment="1">
      <alignment horizontal="center" vertical="center"/>
    </xf>
    <xf numFmtId="0" fontId="0" fillId="0" borderId="1" xfId="0" applyBorder="1"/>
    <xf numFmtId="0" fontId="6" fillId="9" borderId="1" xfId="0" applyFont="1" applyFill="1" applyBorder="1"/>
    <xf numFmtId="0" fontId="0" fillId="0" borderId="1" xfId="0" applyBorder="1" applyAlignment="1">
      <alignment horizontal="center"/>
    </xf>
    <xf numFmtId="0" fontId="6" fillId="9" borderId="1" xfId="0" applyFont="1" applyFill="1" applyBorder="1" applyAlignment="1">
      <alignment horizontal="center"/>
    </xf>
    <xf numFmtId="0" fontId="9" fillId="0" borderId="0" xfId="0" applyFont="1"/>
    <xf numFmtId="0" fontId="10" fillId="0" borderId="0" xfId="0" applyFon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[AmazonDB.xlsx]All_Pivots!pvtTopProducts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All_Pivots!$B$3</c:f>
              <c:strCache>
                <c:ptCount val="1"/>
                <c:pt idx="0">
                  <c:v>Total</c:v>
                </c:pt>
              </c:strCache>
            </c:strRef>
          </c:tx>
          <c:spPr>
            <a:solidFill>
              <a:schemeClr val="accent1"/>
            </a:solidFill>
            <a:ln>
              <a:noFill/>
            </a:ln>
            <a:effectLst/>
          </c:spPr>
          <c:invertIfNegative val="0"/>
          <c:cat>
            <c:strRef>
              <c:f>All_Pivots!$A$4:$A$54</c:f>
              <c:strCache>
                <c:ptCount val="50"/>
                <c:pt idx="0">
                  <c:v>4K Monitor</c:v>
                </c:pt>
                <c:pt idx="1">
                  <c:v>Action Camera</c:v>
                </c:pt>
                <c:pt idx="2">
                  <c:v>Air Fryer</c:v>
                </c:pt>
                <c:pt idx="3">
                  <c:v>Backpack</c:v>
                </c:pt>
                <c:pt idx="4">
                  <c:v>Bluetooth Speaker</c:v>
                </c:pt>
                <c:pt idx="5">
                  <c:v>Board Game</c:v>
                </c:pt>
                <c:pt idx="6">
                  <c:v>Car Charger</c:v>
                </c:pt>
                <c:pt idx="7">
                  <c:v>Children's Book</c:v>
                </c:pt>
                <c:pt idx="8">
                  <c:v>Cookware Set</c:v>
                </c:pt>
                <c:pt idx="9">
                  <c:v>Desk Organizer</c:v>
                </c:pt>
                <c:pt idx="10">
                  <c:v>Desk Plant</c:v>
                </c:pt>
                <c:pt idx="11">
                  <c:v>Dress Shirt</c:v>
                </c:pt>
                <c:pt idx="12">
                  <c:v>Drone Mini</c:v>
                </c:pt>
                <c:pt idx="13">
                  <c:v>Electric Kettle</c:v>
                </c:pt>
                <c:pt idx="14">
                  <c:v>External HDD 2TB</c:v>
                </c:pt>
                <c:pt idx="15">
                  <c:v>Fitness Band</c:v>
                </c:pt>
                <c:pt idx="16">
                  <c:v>Gaming Mouse</c:v>
                </c:pt>
                <c:pt idx="17">
                  <c:v>Graphic Tablet</c:v>
                </c:pt>
                <c:pt idx="18">
                  <c:v>HDMI Cable 2m</c:v>
                </c:pt>
                <c:pt idx="19">
                  <c:v>Instant Pot</c:v>
                </c:pt>
                <c:pt idx="20">
                  <c:v>Jeans</c:v>
                </c:pt>
                <c:pt idx="21">
                  <c:v>Kids Toy Car</c:v>
                </c:pt>
                <c:pt idx="22">
                  <c:v>Laptop Sleeve</c:v>
                </c:pt>
                <c:pt idx="23">
                  <c:v>LED Desk Lamp</c:v>
                </c:pt>
                <c:pt idx="24">
                  <c:v>Mechanical Keyboard</c:v>
                </c:pt>
                <c:pt idx="25">
                  <c:v>Memory Card 128GB</c:v>
                </c:pt>
                <c:pt idx="26">
                  <c:v>Microphone</c:v>
                </c:pt>
                <c:pt idx="27">
                  <c:v>Noise Cancelling Headphones</c:v>
                </c:pt>
                <c:pt idx="28">
                  <c:v>Novel Bestseller</c:v>
                </c:pt>
                <c:pt idx="29">
                  <c:v>Office Chair</c:v>
                </c:pt>
                <c:pt idx="30">
                  <c:v>Phone Tripod</c:v>
                </c:pt>
                <c:pt idx="31">
                  <c:v>Portable SSD 1TB</c:v>
                </c:pt>
                <c:pt idx="32">
                  <c:v>Power Bank 20000mAh</c:v>
                </c:pt>
                <c:pt idx="33">
                  <c:v>Projector Mini</c:v>
                </c:pt>
                <c:pt idx="34">
                  <c:v>Puzzle 1000pc</c:v>
                </c:pt>
                <c:pt idx="35">
                  <c:v>Router</c:v>
                </c:pt>
                <c:pt idx="36">
                  <c:v>Running Shoes</c:v>
                </c:pt>
                <c:pt idx="37">
                  <c:v>Smart Light Bulb</c:v>
                </c:pt>
                <c:pt idx="38">
                  <c:v>Smartphone Case</c:v>
                </c:pt>
                <c:pt idx="39">
                  <c:v>Smartwatch</c:v>
                </c:pt>
                <c:pt idx="40">
                  <c:v>Sunglasses</c:v>
                </c:pt>
                <c:pt idx="41">
                  <c:v>T-Shirt</c:v>
                </c:pt>
                <c:pt idx="42">
                  <c:v>USB-C Charger</c:v>
                </c:pt>
                <c:pt idx="43">
                  <c:v>Vacuum Cleaner</c:v>
                </c:pt>
                <c:pt idx="44">
                  <c:v>Water Bottle</c:v>
                </c:pt>
                <c:pt idx="45">
                  <c:v>Webcam Full HD</c:v>
                </c:pt>
                <c:pt idx="46">
                  <c:v>Winter Jacket</c:v>
                </c:pt>
                <c:pt idx="47">
                  <c:v>Wireless Charger</c:v>
                </c:pt>
                <c:pt idx="48">
                  <c:v>Wireless Earbuds</c:v>
                </c:pt>
                <c:pt idx="49">
                  <c:v>Yoga Mat</c:v>
                </c:pt>
              </c:strCache>
            </c:strRef>
          </c:cat>
          <c:val>
            <c:numRef>
              <c:f>All_Pivots!$B$4:$B$54</c:f>
              <c:numCache>
                <c:formatCode>General</c:formatCode>
                <c:ptCount val="50"/>
                <c:pt idx="0">
                  <c:v>5190.8600959777832</c:v>
                </c:pt>
                <c:pt idx="1">
                  <c:v>3367.5</c:v>
                </c:pt>
                <c:pt idx="2">
                  <c:v>5724.2500610351563</c:v>
                </c:pt>
                <c:pt idx="3">
                  <c:v>6000.3800048828125</c:v>
                </c:pt>
                <c:pt idx="4">
                  <c:v>1754.5999755859375</c:v>
                </c:pt>
                <c:pt idx="5">
                  <c:v>3832.190055847168</c:v>
                </c:pt>
                <c:pt idx="6">
                  <c:v>3575.4999694824219</c:v>
                </c:pt>
                <c:pt idx="7">
                  <c:v>3937.7100372314453</c:v>
                </c:pt>
                <c:pt idx="8">
                  <c:v>9672.4600524902344</c:v>
                </c:pt>
                <c:pt idx="9">
                  <c:v>1228.1399841308594</c:v>
                </c:pt>
                <c:pt idx="10">
                  <c:v>5441.6299438476563</c:v>
                </c:pt>
                <c:pt idx="11">
                  <c:v>8230.2801208496094</c:v>
                </c:pt>
                <c:pt idx="12">
                  <c:v>2634.9899826049805</c:v>
                </c:pt>
                <c:pt idx="13">
                  <c:v>6737.3399887084961</c:v>
                </c:pt>
                <c:pt idx="14">
                  <c:v>189.35000610351563</c:v>
                </c:pt>
                <c:pt idx="15">
                  <c:v>3092.0899963378906</c:v>
                </c:pt>
                <c:pt idx="16">
                  <c:v>2234.7500610351563</c:v>
                </c:pt>
                <c:pt idx="17">
                  <c:v>7900.6599502563477</c:v>
                </c:pt>
                <c:pt idx="18">
                  <c:v>4105.8601608276367</c:v>
                </c:pt>
                <c:pt idx="19">
                  <c:v>12305.520004272461</c:v>
                </c:pt>
                <c:pt idx="20">
                  <c:v>6734.9499816894531</c:v>
                </c:pt>
                <c:pt idx="21">
                  <c:v>7469.8499450683594</c:v>
                </c:pt>
                <c:pt idx="22">
                  <c:v>5577.6700134277344</c:v>
                </c:pt>
                <c:pt idx="23">
                  <c:v>2845.3399963378906</c:v>
                </c:pt>
                <c:pt idx="24">
                  <c:v>1771.3300170898438</c:v>
                </c:pt>
                <c:pt idx="25">
                  <c:v>1766.4200134277344</c:v>
                </c:pt>
                <c:pt idx="26">
                  <c:v>7082.0700836181641</c:v>
                </c:pt>
                <c:pt idx="27">
                  <c:v>2939.9500122070313</c:v>
                </c:pt>
                <c:pt idx="28">
                  <c:v>7675.4500484466553</c:v>
                </c:pt>
                <c:pt idx="29">
                  <c:v>2251.5799560546875</c:v>
                </c:pt>
                <c:pt idx="30">
                  <c:v>4829.4800567626953</c:v>
                </c:pt>
                <c:pt idx="31">
                  <c:v>3554.9599609375</c:v>
                </c:pt>
                <c:pt idx="32">
                  <c:v>3543.9301147460938</c:v>
                </c:pt>
                <c:pt idx="33">
                  <c:v>2906.7200317382813</c:v>
                </c:pt>
                <c:pt idx="34">
                  <c:v>6040.7800598144531</c:v>
                </c:pt>
                <c:pt idx="35">
                  <c:v>4757.35009765625</c:v>
                </c:pt>
                <c:pt idx="36">
                  <c:v>5816.1799621582031</c:v>
                </c:pt>
                <c:pt idx="37">
                  <c:v>11239.999786376953</c:v>
                </c:pt>
                <c:pt idx="38">
                  <c:v>4898.0499877929688</c:v>
                </c:pt>
                <c:pt idx="39">
                  <c:v>8242.7199859619141</c:v>
                </c:pt>
                <c:pt idx="40">
                  <c:v>8602.1100120544434</c:v>
                </c:pt>
                <c:pt idx="41">
                  <c:v>3060.169921875</c:v>
                </c:pt>
                <c:pt idx="42">
                  <c:v>1055.9699821472168</c:v>
                </c:pt>
                <c:pt idx="43">
                  <c:v>4588.0399780273438</c:v>
                </c:pt>
                <c:pt idx="44">
                  <c:v>8594.5399475097656</c:v>
                </c:pt>
                <c:pt idx="45">
                  <c:v>1653.0399627685547</c:v>
                </c:pt>
                <c:pt idx="46">
                  <c:v>5660.6099243164063</c:v>
                </c:pt>
                <c:pt idx="47">
                  <c:v>6875.5098571777344</c:v>
                </c:pt>
                <c:pt idx="48">
                  <c:v>886.76998901367188</c:v>
                </c:pt>
                <c:pt idx="49">
                  <c:v>2108.7099609375</c:v>
                </c:pt>
              </c:numCache>
            </c:numRef>
          </c:val>
          <c:extLst>
            <c:ext xmlns:c16="http://schemas.microsoft.com/office/drawing/2014/chart" uri="{C3380CC4-5D6E-409C-BE32-E72D297353CC}">
              <c16:uniqueId val="{00000000-3267-44EC-8AA6-F0612DBFC55D}"/>
            </c:ext>
          </c:extLst>
        </c:ser>
        <c:dLbls>
          <c:showLegendKey val="0"/>
          <c:showVal val="0"/>
          <c:showCatName val="0"/>
          <c:showSerName val="0"/>
          <c:showPercent val="0"/>
          <c:showBubbleSize val="0"/>
        </c:dLbls>
        <c:gapWidth val="182"/>
        <c:axId val="673752928"/>
        <c:axId val="673753408"/>
      </c:barChart>
      <c:catAx>
        <c:axId val="67375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753408"/>
        <c:crosses val="autoZero"/>
        <c:auto val="1"/>
        <c:lblAlgn val="ctr"/>
        <c:lblOffset val="100"/>
        <c:noMultiLvlLbl val="0"/>
      </c:catAx>
      <c:valAx>
        <c:axId val="673753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75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[AmazonDB.xlsx]All_Pivots!pvtSalesOverTime</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All_Pivots!$H$3</c:f>
              <c:strCache>
                <c:ptCount val="1"/>
                <c:pt idx="0">
                  <c:v>Total</c:v>
                </c:pt>
              </c:strCache>
            </c:strRef>
          </c:tx>
          <c:spPr>
            <a:ln w="28575" cap="rnd">
              <a:solidFill>
                <a:schemeClr val="accent1"/>
              </a:solidFill>
              <a:round/>
            </a:ln>
            <a:effectLst/>
          </c:spPr>
          <c:marker>
            <c:symbol val="none"/>
          </c:marker>
          <c:cat>
            <c:strRef>
              <c:f>All_Pivots!$G$4:$G$64</c:f>
              <c:strCache>
                <c:ptCount val="60"/>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strCache>
            </c:strRef>
          </c:cat>
          <c:val>
            <c:numRef>
              <c:f>All_Pivots!$H$4:$H$64</c:f>
              <c:numCache>
                <c:formatCode>General</c:formatCode>
                <c:ptCount val="60"/>
                <c:pt idx="0">
                  <c:v>3283.9300003051758</c:v>
                </c:pt>
                <c:pt idx="1">
                  <c:v>1746.3699951171875</c:v>
                </c:pt>
                <c:pt idx="2">
                  <c:v>2169.75</c:v>
                </c:pt>
                <c:pt idx="3">
                  <c:v>1934.8200378417969</c:v>
                </c:pt>
                <c:pt idx="4">
                  <c:v>4095.4500732421875</c:v>
                </c:pt>
                <c:pt idx="5">
                  <c:v>2037.1700439453125</c:v>
                </c:pt>
                <c:pt idx="6">
                  <c:v>4191.7999725341797</c:v>
                </c:pt>
                <c:pt idx="7">
                  <c:v>4521.8600463867188</c:v>
                </c:pt>
                <c:pt idx="8">
                  <c:v>506.8599853515625</c:v>
                </c:pt>
                <c:pt idx="9">
                  <c:v>1626.2499389648438</c:v>
                </c:pt>
                <c:pt idx="10">
                  <c:v>6082.5301513671875</c:v>
                </c:pt>
                <c:pt idx="11">
                  <c:v>910.52001953125</c:v>
                </c:pt>
                <c:pt idx="12">
                  <c:v>5003.4699401855469</c:v>
                </c:pt>
                <c:pt idx="13">
                  <c:v>4533.2899475097656</c:v>
                </c:pt>
                <c:pt idx="14">
                  <c:v>1291.2999877929688</c:v>
                </c:pt>
                <c:pt idx="15">
                  <c:v>1216.010009765625</c:v>
                </c:pt>
                <c:pt idx="16">
                  <c:v>6792.0198516845703</c:v>
                </c:pt>
                <c:pt idx="17">
                  <c:v>2899.75</c:v>
                </c:pt>
                <c:pt idx="18">
                  <c:v>8201.8899841308594</c:v>
                </c:pt>
                <c:pt idx="19">
                  <c:v>3608.820068359375</c:v>
                </c:pt>
                <c:pt idx="20">
                  <c:v>3371.9600677490234</c:v>
                </c:pt>
                <c:pt idx="21">
                  <c:v>2132.75</c:v>
                </c:pt>
                <c:pt idx="22">
                  <c:v>6927.3499755859375</c:v>
                </c:pt>
                <c:pt idx="23">
                  <c:v>3163.1299591064453</c:v>
                </c:pt>
                <c:pt idx="24">
                  <c:v>3330.8600616455078</c:v>
                </c:pt>
                <c:pt idx="25">
                  <c:v>6990.0501708984375</c:v>
                </c:pt>
                <c:pt idx="26">
                  <c:v>6813.5400085449219</c:v>
                </c:pt>
                <c:pt idx="27">
                  <c:v>4867.900146484375</c:v>
                </c:pt>
                <c:pt idx="28">
                  <c:v>7684.3299560546875</c:v>
                </c:pt>
                <c:pt idx="29">
                  <c:v>943.58999633789063</c:v>
                </c:pt>
                <c:pt idx="30">
                  <c:v>795.510009765625</c:v>
                </c:pt>
                <c:pt idx="31">
                  <c:v>5370.329891204834</c:v>
                </c:pt>
                <c:pt idx="32">
                  <c:v>2636.739990234375</c:v>
                </c:pt>
                <c:pt idx="33">
                  <c:v>3989.5400695800781</c:v>
                </c:pt>
                <c:pt idx="34">
                  <c:v>5629.7099990844727</c:v>
                </c:pt>
                <c:pt idx="35">
                  <c:v>5234.1900024414063</c:v>
                </c:pt>
                <c:pt idx="36">
                  <c:v>5150.739990234375</c:v>
                </c:pt>
                <c:pt idx="37">
                  <c:v>4685.7500305175781</c:v>
                </c:pt>
                <c:pt idx="38">
                  <c:v>2953.1799373626709</c:v>
                </c:pt>
                <c:pt idx="39">
                  <c:v>2013.6099243164063</c:v>
                </c:pt>
                <c:pt idx="40">
                  <c:v>2993.929931640625</c:v>
                </c:pt>
                <c:pt idx="41">
                  <c:v>5797.9899673461914</c:v>
                </c:pt>
                <c:pt idx="42">
                  <c:v>2552.4900588989258</c:v>
                </c:pt>
                <c:pt idx="43">
                  <c:v>2326.2701110839844</c:v>
                </c:pt>
                <c:pt idx="44">
                  <c:v>6594.1798858642578</c:v>
                </c:pt>
                <c:pt idx="45">
                  <c:v>4345.9900665283203</c:v>
                </c:pt>
                <c:pt idx="46">
                  <c:v>5101.1298828125</c:v>
                </c:pt>
                <c:pt idx="47">
                  <c:v>3864.489990234375</c:v>
                </c:pt>
                <c:pt idx="48">
                  <c:v>7853.6400146484375</c:v>
                </c:pt>
                <c:pt idx="49">
                  <c:v>7507.1500511169434</c:v>
                </c:pt>
                <c:pt idx="50">
                  <c:v>5216.830078125</c:v>
                </c:pt>
                <c:pt idx="51">
                  <c:v>3519.9098968505859</c:v>
                </c:pt>
                <c:pt idx="52">
                  <c:v>6664.47998046875</c:v>
                </c:pt>
                <c:pt idx="53">
                  <c:v>991.72000122070313</c:v>
                </c:pt>
                <c:pt idx="54">
                  <c:v>1937.1499633789063</c:v>
                </c:pt>
                <c:pt idx="55">
                  <c:v>8076.3100280761719</c:v>
                </c:pt>
                <c:pt idx="56">
                  <c:v>3456.97998046875</c:v>
                </c:pt>
                <c:pt idx="57">
                  <c:v>5029.9500846862793</c:v>
                </c:pt>
                <c:pt idx="58">
                  <c:v>5116.6098937988281</c:v>
                </c:pt>
                <c:pt idx="59">
                  <c:v>1900.489990234375</c:v>
                </c:pt>
              </c:numCache>
            </c:numRef>
          </c:val>
          <c:smooth val="0"/>
          <c:extLst>
            <c:ext xmlns:c16="http://schemas.microsoft.com/office/drawing/2014/chart" uri="{C3380CC4-5D6E-409C-BE32-E72D297353CC}">
              <c16:uniqueId val="{00000000-F057-474A-9C88-0B0C305E1438}"/>
            </c:ext>
          </c:extLst>
        </c:ser>
        <c:dLbls>
          <c:showLegendKey val="0"/>
          <c:showVal val="0"/>
          <c:showCatName val="0"/>
          <c:showSerName val="0"/>
          <c:showPercent val="0"/>
          <c:showBubbleSize val="0"/>
        </c:dLbls>
        <c:smooth val="0"/>
        <c:axId val="1451065920"/>
        <c:axId val="1451066400"/>
      </c:lineChart>
      <c:catAx>
        <c:axId val="145106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66400"/>
        <c:crosses val="autoZero"/>
        <c:auto val="1"/>
        <c:lblAlgn val="ctr"/>
        <c:lblOffset val="100"/>
        <c:noMultiLvlLbl val="0"/>
      </c:catAx>
      <c:valAx>
        <c:axId val="145106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06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[AmazonDB.xlsx]All_Pivots!pvtCategories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All_Pivots!$E$3</c:f>
              <c:strCache>
                <c:ptCount val="1"/>
                <c:pt idx="0">
                  <c:v>Total</c:v>
                </c:pt>
              </c:strCache>
            </c:strRef>
          </c:tx>
          <c:spPr>
            <a:solidFill>
              <a:schemeClr val="accent1"/>
            </a:solidFill>
            <a:ln>
              <a:noFill/>
            </a:ln>
            <a:effectLst/>
          </c:spPr>
          <c:invertIfNegative val="0"/>
          <c:cat>
            <c:strRef>
              <c:f>All_Pivots!$D$4:$D$10</c:f>
              <c:strCache>
                <c:ptCount val="6"/>
                <c:pt idx="0">
                  <c:v>Books</c:v>
                </c:pt>
                <c:pt idx="1">
                  <c:v>Clothing</c:v>
                </c:pt>
                <c:pt idx="2">
                  <c:v>Electronics</c:v>
                </c:pt>
                <c:pt idx="3">
                  <c:v>Home &amp; Kitchen</c:v>
                </c:pt>
                <c:pt idx="4">
                  <c:v>Sports &amp; Outdoors</c:v>
                </c:pt>
                <c:pt idx="5">
                  <c:v>Toys &amp; Games</c:v>
                </c:pt>
              </c:strCache>
            </c:strRef>
          </c:cat>
          <c:val>
            <c:numRef>
              <c:f>All_Pivots!$E$4:$E$10</c:f>
              <c:numCache>
                <c:formatCode>General</c:formatCode>
                <c:ptCount val="6"/>
                <c:pt idx="0">
                  <c:v>41737.450263977051</c:v>
                </c:pt>
                <c:pt idx="1">
                  <c:v>28028.619682312012</c:v>
                </c:pt>
                <c:pt idx="2">
                  <c:v>52042.6298828125</c:v>
                </c:pt>
                <c:pt idx="3">
                  <c:v>40516.250078201294</c:v>
                </c:pt>
                <c:pt idx="4">
                  <c:v>36091.750213623047</c:v>
                </c:pt>
                <c:pt idx="5">
                  <c:v>43769.609977722168</c:v>
                </c:pt>
              </c:numCache>
            </c:numRef>
          </c:val>
          <c:extLst>
            <c:ext xmlns:c16="http://schemas.microsoft.com/office/drawing/2014/chart" uri="{C3380CC4-5D6E-409C-BE32-E72D297353CC}">
              <c16:uniqueId val="{00000000-E0F0-499F-9D70-C38083B2A156}"/>
            </c:ext>
          </c:extLst>
        </c:ser>
        <c:dLbls>
          <c:showLegendKey val="0"/>
          <c:showVal val="0"/>
          <c:showCatName val="0"/>
          <c:showSerName val="0"/>
          <c:showPercent val="0"/>
          <c:showBubbleSize val="0"/>
        </c:dLbls>
        <c:gapWidth val="219"/>
        <c:overlap val="-27"/>
        <c:axId val="1072462160"/>
        <c:axId val="673754848"/>
      </c:barChart>
      <c:catAx>
        <c:axId val="107246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754848"/>
        <c:crosses val="autoZero"/>
        <c:auto val="1"/>
        <c:lblAlgn val="ctr"/>
        <c:lblOffset val="100"/>
        <c:noMultiLvlLbl val="0"/>
      </c:catAx>
      <c:valAx>
        <c:axId val="67375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46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[AmazonDB.xlsx]All_Pivots!pvtCountries</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All_Pivots!$K$3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7F-40C9-B367-32AD45492C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7F-40C9-B367-32AD45492C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7F-40C9-B367-32AD45492C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7F-40C9-B367-32AD45492C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7F-40C9-B367-32AD45492C82}"/>
              </c:ext>
            </c:extLst>
          </c:dPt>
          <c:cat>
            <c:strRef>
              <c:f>All_Pivots!$J$4:$J$9</c:f>
              <c:strCache>
                <c:ptCount val="5"/>
                <c:pt idx="0">
                  <c:v>Australia</c:v>
                </c:pt>
                <c:pt idx="1">
                  <c:v>Canada</c:v>
                </c:pt>
                <c:pt idx="2">
                  <c:v>India</c:v>
                </c:pt>
                <c:pt idx="3">
                  <c:v>United Kingdom</c:v>
                </c:pt>
                <c:pt idx="4">
                  <c:v>United States</c:v>
                </c:pt>
              </c:strCache>
            </c:strRef>
          </c:cat>
          <c:val>
            <c:numRef>
              <c:f>All_Pivots!$K$4:$K$9</c:f>
              <c:numCache>
                <c:formatCode>General</c:formatCode>
                <c:ptCount val="5"/>
                <c:pt idx="0">
                  <c:v>9226.25</c:v>
                </c:pt>
                <c:pt idx="1">
                  <c:v>22404.86003112793</c:v>
                </c:pt>
                <c:pt idx="2">
                  <c:v>30259.770141601563</c:v>
                </c:pt>
                <c:pt idx="3">
                  <c:v>15577.629692077637</c:v>
                </c:pt>
                <c:pt idx="4">
                  <c:v>164717.80023384094</c:v>
                </c:pt>
              </c:numCache>
            </c:numRef>
          </c:val>
          <c:extLst>
            <c:ext xmlns:c16="http://schemas.microsoft.com/office/drawing/2014/chart" uri="{C3380CC4-5D6E-409C-BE32-E72D297353CC}">
              <c16:uniqueId val="{00000000-177E-4BFF-BE4B-3AED045B64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0</xdr:rowOff>
    </xdr:from>
    <xdr:to>
      <xdr:col>5</xdr:col>
      <xdr:colOff>0</xdr:colOff>
      <xdr:row>22</xdr:row>
      <xdr:rowOff>0</xdr:rowOff>
    </xdr:to>
    <xdr:graphicFrame macro="">
      <xdr:nvGraphicFramePr>
        <xdr:cNvPr id="20" name="chartTopProducts">
          <a:extLst>
            <a:ext uri="{FF2B5EF4-FFF2-40B4-BE49-F238E27FC236}">
              <a16:creationId xmlns:a16="http://schemas.microsoft.com/office/drawing/2014/main" id="{C3C856E3-FFE0-3D5C-503B-8750D7652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7</xdr:row>
      <xdr:rowOff>0</xdr:rowOff>
    </xdr:from>
    <xdr:to>
      <xdr:col>10</xdr:col>
      <xdr:colOff>0</xdr:colOff>
      <xdr:row>22</xdr:row>
      <xdr:rowOff>0</xdr:rowOff>
    </xdr:to>
    <xdr:graphicFrame macro="">
      <xdr:nvGraphicFramePr>
        <xdr:cNvPr id="21" name="chartSalesOverTime">
          <a:extLst>
            <a:ext uri="{FF2B5EF4-FFF2-40B4-BE49-F238E27FC236}">
              <a16:creationId xmlns:a16="http://schemas.microsoft.com/office/drawing/2014/main" id="{8B325BC0-F285-0A16-2E18-E95FADAEF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0</xdr:rowOff>
    </xdr:from>
    <xdr:to>
      <xdr:col>5</xdr:col>
      <xdr:colOff>0</xdr:colOff>
      <xdr:row>38</xdr:row>
      <xdr:rowOff>0</xdr:rowOff>
    </xdr:to>
    <xdr:graphicFrame macro="">
      <xdr:nvGraphicFramePr>
        <xdr:cNvPr id="22" name="chartCategories">
          <a:extLst>
            <a:ext uri="{FF2B5EF4-FFF2-40B4-BE49-F238E27FC236}">
              <a16:creationId xmlns:a16="http://schemas.microsoft.com/office/drawing/2014/main" id="{DF5B1C2D-C0F5-5153-CC97-C8C4B233D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23</xdr:row>
      <xdr:rowOff>0</xdr:rowOff>
    </xdr:from>
    <xdr:to>
      <xdr:col>10</xdr:col>
      <xdr:colOff>0</xdr:colOff>
      <xdr:row>38</xdr:row>
      <xdr:rowOff>0</xdr:rowOff>
    </xdr:to>
    <xdr:graphicFrame macro="">
      <xdr:nvGraphicFramePr>
        <xdr:cNvPr id="23" name="chartCountries">
          <a:extLst>
            <a:ext uri="{FF2B5EF4-FFF2-40B4-BE49-F238E27FC236}">
              <a16:creationId xmlns:a16="http://schemas.microsoft.com/office/drawing/2014/main" id="{FCE6AD4E-02A8-7185-681E-E19AF037C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0</xdr:colOff>
      <xdr:row>7</xdr:row>
      <xdr:rowOff>0</xdr:rowOff>
    </xdr:from>
    <xdr:to>
      <xdr:col>12</xdr:col>
      <xdr:colOff>886460</xdr:colOff>
      <xdr:row>20</xdr:row>
      <xdr:rowOff>162560</xdr:rowOff>
    </xdr:to>
    <mc:AlternateContent xmlns:mc="http://schemas.openxmlformats.org/markup-compatibility/2006" xmlns:a14="http://schemas.microsoft.com/office/drawing/2010/main">
      <mc:Choice Requires="a14">
        <xdr:graphicFrame macro="">
          <xdr:nvGraphicFramePr>
            <xdr:cNvPr id="24" name="slicerCategory">
              <a:extLst>
                <a:ext uri="{FF2B5EF4-FFF2-40B4-BE49-F238E27FC236}">
                  <a16:creationId xmlns:a16="http://schemas.microsoft.com/office/drawing/2014/main" id="{C8E8F798-A9EF-4CC9-5B83-9CC2A7A33383}"/>
                </a:ext>
              </a:extLst>
            </xdr:cNvPr>
            <xdr:cNvGraphicFramePr/>
          </xdr:nvGraphicFramePr>
          <xdr:xfrm>
            <a:off x="0" y="0"/>
            <a:ext cx="0" cy="0"/>
          </xdr:xfrm>
          <a:graphic>
            <a:graphicData uri="http://schemas.microsoft.com/office/drawing/2010/slicer">
              <sle:slicer xmlns:sle="http://schemas.microsoft.com/office/drawing/2010/slicer" name="slicerCategory"/>
            </a:graphicData>
          </a:graphic>
        </xdr:graphicFrame>
      </mc:Choice>
      <mc:Fallback xmlns="">
        <xdr:sp macro="" textlink="">
          <xdr:nvSpPr>
            <xdr:cNvPr id="0" name=""/>
            <xdr:cNvSpPr>
              <a:spLocks noTextEdit="1"/>
            </xdr:cNvSpPr>
          </xdr:nvSpPr>
          <xdr:spPr>
            <a:xfrm>
              <a:off x="10728960" y="2667000"/>
              <a:ext cx="25400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18</xdr:row>
      <xdr:rowOff>0</xdr:rowOff>
    </xdr:from>
    <xdr:to>
      <xdr:col>12</xdr:col>
      <xdr:colOff>886460</xdr:colOff>
      <xdr:row>31</xdr:row>
      <xdr:rowOff>124460</xdr:rowOff>
    </xdr:to>
    <mc:AlternateContent xmlns:mc="http://schemas.openxmlformats.org/markup-compatibility/2006" xmlns:a14="http://schemas.microsoft.com/office/drawing/2010/main">
      <mc:Choice Requires="a14">
        <xdr:graphicFrame macro="">
          <xdr:nvGraphicFramePr>
            <xdr:cNvPr id="25" name="slicerCountry">
              <a:extLst>
                <a:ext uri="{FF2B5EF4-FFF2-40B4-BE49-F238E27FC236}">
                  <a16:creationId xmlns:a16="http://schemas.microsoft.com/office/drawing/2014/main" id="{2C3629FB-00C3-AE25-8405-A1288B14CCCD}"/>
                </a:ext>
              </a:extLst>
            </xdr:cNvPr>
            <xdr:cNvGraphicFramePr/>
          </xdr:nvGraphicFramePr>
          <xdr:xfrm>
            <a:off x="0" y="0"/>
            <a:ext cx="0" cy="0"/>
          </xdr:xfrm>
          <a:graphic>
            <a:graphicData uri="http://schemas.microsoft.com/office/drawing/2010/slicer">
              <sle:slicer xmlns:sle="http://schemas.microsoft.com/office/drawing/2010/slicer" name="slicerCountry"/>
            </a:graphicData>
          </a:graphic>
        </xdr:graphicFrame>
      </mc:Choice>
      <mc:Fallback xmlns="">
        <xdr:sp macro="" textlink="">
          <xdr:nvSpPr>
            <xdr:cNvPr id="0" name=""/>
            <xdr:cNvSpPr>
              <a:spLocks noTextEdit="1"/>
            </xdr:cNvSpPr>
          </xdr:nvSpPr>
          <xdr:spPr>
            <a:xfrm>
              <a:off x="10728960" y="4678680"/>
              <a:ext cx="25400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28</xdr:row>
      <xdr:rowOff>182879</xdr:rowOff>
    </xdr:from>
    <xdr:to>
      <xdr:col>12</xdr:col>
      <xdr:colOff>886460</xdr:colOff>
      <xdr:row>42</xdr:row>
      <xdr:rowOff>162559</xdr:rowOff>
    </xdr:to>
    <mc:AlternateContent xmlns:mc="http://schemas.openxmlformats.org/markup-compatibility/2006" xmlns:a14="http://schemas.microsoft.com/office/drawing/2010/main">
      <mc:Choice Requires="a14">
        <xdr:graphicFrame macro="">
          <xdr:nvGraphicFramePr>
            <xdr:cNvPr id="26" name="slicerCustomer">
              <a:extLst>
                <a:ext uri="{FF2B5EF4-FFF2-40B4-BE49-F238E27FC236}">
                  <a16:creationId xmlns:a16="http://schemas.microsoft.com/office/drawing/2014/main" id="{7A807A0E-D34C-76D8-9EEE-77D566C7765E}"/>
                </a:ext>
              </a:extLst>
            </xdr:cNvPr>
            <xdr:cNvGraphicFramePr/>
          </xdr:nvGraphicFramePr>
          <xdr:xfrm>
            <a:off x="0" y="0"/>
            <a:ext cx="0" cy="0"/>
          </xdr:xfrm>
          <a:graphic>
            <a:graphicData uri="http://schemas.microsoft.com/office/drawing/2010/slicer">
              <sle:slicer xmlns:sle="http://schemas.microsoft.com/office/drawing/2010/slicer" name="slicerCustomer"/>
            </a:graphicData>
          </a:graphic>
        </xdr:graphicFrame>
      </mc:Choice>
      <mc:Fallback xmlns="">
        <xdr:sp macro="" textlink="">
          <xdr:nvSpPr>
            <xdr:cNvPr id="0" name=""/>
            <xdr:cNvSpPr>
              <a:spLocks noTextEdit="1"/>
            </xdr:cNvSpPr>
          </xdr:nvSpPr>
          <xdr:spPr>
            <a:xfrm>
              <a:off x="10728960" y="6728459"/>
              <a:ext cx="25400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ma mohammed" refreshedDate="46139.946645601849" createdVersion="8" refreshedVersion="8" minRefreshableVersion="3" recordCount="250" xr:uid="{8CE305D4-5FB8-481D-9F8E-432C7C6EE241}">
  <cacheSource type="worksheet">
    <worksheetSource ref="A1:I251" sheet="AmazonDB"/>
  </cacheSource>
  <cacheFields count="9">
    <cacheField name="OrderDate" numFmtId="14">
      <sharedItems containsSemiMixedTypes="0" containsNonDate="0" containsDate="1" containsString="0" minDate="2020-01-14T00:00:00" maxDate="2024-12-27T00:00:00"/>
    </cacheField>
    <cacheField name="CustomerName" numFmtId="0">
      <sharedItems count="140">
        <s v="Vihaan Sharma"/>
        <s v="Pooja Kumar"/>
        <s v="Sneha Singh"/>
        <s v="Vihaan Reddy"/>
        <s v="Aditya Kapoor"/>
        <s v="Karan Sharma"/>
        <s v="Aarav Verma"/>
        <s v="Rohit Kumar"/>
        <s v="Aman Kapoor"/>
        <s v="Aarav Reddy"/>
        <s v="Rohit Reddy"/>
        <s v="Karan Kumar"/>
        <s v="Simran Kapoor"/>
        <s v="Pooja Sharma"/>
        <s v="Mohit Mehta"/>
        <s v="Anjali Gupta"/>
        <s v="Arjun Kumar"/>
        <s v="Anjali Verma"/>
        <s v="Aditya Mehta"/>
        <s v="Vihaan Patel"/>
        <s v="Vikas Kapoor"/>
        <s v="Simran Reddy"/>
        <s v="Vihaan Mehta"/>
        <s v="Aditya Reddy"/>
        <s v="Priya Kapoor"/>
        <s v="Rohit Verma"/>
        <s v="Vivaan Kumar"/>
        <s v="Priya Verma"/>
        <s v="Sneha Verma"/>
        <s v="Sunita Gupta"/>
        <s v="Simran Patel"/>
        <s v="Mohit Patel"/>
        <s v="Vikas Kumar"/>
        <s v="Pooja Verma"/>
        <s v="Kabir Singh"/>
        <s v="Sahil Kumar"/>
        <s v="Mohit Joshi"/>
        <s v="Anjali Sharma"/>
        <s v="Sneha Sharma"/>
        <s v="Anjali Mehta"/>
        <s v="Rohit Kapoor"/>
        <s v="Anjali Kumar"/>
        <s v="Neha Mehta"/>
        <s v="Simran Singh"/>
        <s v="Pooja Singh"/>
        <s v="Sneha Reddy"/>
        <s v="Sahil Gupta"/>
        <s v="Ritika Mehta"/>
        <s v="Arjun Reddy"/>
        <s v="Neha Verma"/>
        <s v="Vivaan Verma"/>
        <s v="Arjun Singh"/>
        <s v="Karan Kapoor"/>
        <s v="Sunita Kapoor"/>
        <s v="Pooja Reddy"/>
        <s v="Priya Mehta"/>
        <s v="Aarav Gupta"/>
        <s v="Aman Singh"/>
        <s v="Aman Verma"/>
        <s v="Priya Reddy"/>
        <s v="Kabir Kumar"/>
        <s v="Arjun Patel"/>
        <s v="Mohit Reddy"/>
        <s v="Aman Sharma"/>
        <s v="Kabir Patel"/>
        <s v="Neha Sharma"/>
        <s v="Priya Kumar"/>
        <s v="Ritika Verma"/>
        <s v="Aditya Joshi"/>
        <s v="Neha Reddy"/>
        <s v="Mohit Gupta"/>
        <s v="Vikas Joshi"/>
        <s v="Aman Joshi"/>
        <s v="Vihaan Kumar"/>
        <s v="Ritika Reddy"/>
        <s v="Sneha Kapoor"/>
        <s v="Aditya Sharma"/>
        <s v="Vivaan Patel"/>
        <s v="Sneha Gupta"/>
        <s v="Neha Kumar"/>
        <s v="Sahil Singh"/>
        <s v="Ritika Kapoor"/>
        <s v="Vikas Mehta"/>
        <s v="Karan Joshi"/>
        <s v="Vivaan Mehta"/>
        <s v="Sneha Kumar"/>
        <s v="Karan Singh"/>
        <s v="Pooja Joshi"/>
        <s v="Sahil Sharma"/>
        <s v="Aditya Kumar"/>
        <s v="Neha Joshi"/>
        <s v="Rohit Mehta"/>
        <s v="Vivaan Singh"/>
        <s v="Sunita Sharma"/>
        <s v="Simran Gupta"/>
        <s v="Karan Reddy"/>
        <s v="Neha Singh"/>
        <s v="Rohit Gupta"/>
        <s v="Rohit Sharma"/>
        <s v="Vivaan Sharma"/>
        <s v="Ritika Joshi"/>
        <s v="Aman Reddy"/>
        <s v="Mohit Sharma"/>
        <s v="Mohit Verma"/>
        <s v="Kabir Verma"/>
        <s v="Sneha Mehta"/>
        <s v="Vihaan Kapoor"/>
        <s v="Kabir Sharma"/>
        <s v="Rohit Patel"/>
        <s v="Sunita Singh"/>
        <s v="Priya Joshi"/>
        <s v="Aarav Joshi"/>
        <s v="Kabir Kapoor"/>
        <s v="Vihaan Verma"/>
        <s v="Aman Gupta"/>
        <s v="Vikas Gupta"/>
        <s v="Kabir Reddy"/>
        <s v="Arjun Gupta"/>
        <s v="Pooja Gupta"/>
        <s v="Neha Gupta"/>
        <s v="Karan Gupta"/>
        <s v="Anjali Singh"/>
        <s v="Aditya Singh"/>
        <s v="Vivaan Gupta"/>
        <s v="Vikas Sharma"/>
        <s v="Vikas Reddy"/>
        <s v="Mohit Singh"/>
        <s v="Vivaan Joshi"/>
        <s v="Aditya Gupta"/>
        <s v="Sunita Reddy"/>
        <s v="Vihaan Gupta"/>
        <s v="Mohit Kapoor"/>
        <s v="Karan Patel"/>
        <s v="Ritika Kumar"/>
        <s v="Karan Verma"/>
        <s v="Anjali Kapoor"/>
        <s v="Karan Mehta"/>
        <s v="Ritika Gupta"/>
        <s v="Simran Joshi"/>
        <s v="Simran Kumar"/>
      </sharedItems>
    </cacheField>
    <cacheField name="ProductName" numFmtId="0">
      <sharedItems count="50">
        <s v="Drone Mini"/>
        <s v="Microphone"/>
        <s v="Power Bank 20000mAh"/>
        <s v="Webcam Full HD"/>
        <s v="T-Shirt"/>
        <s v="Cookware Set"/>
        <s v="Dress Shirt"/>
        <s v="Jeans"/>
        <s v="Kids Toy Car"/>
        <s v="Wireless Earbuds"/>
        <s v="Car Charger"/>
        <s v="Projector Mini"/>
        <s v="Vacuum Cleaner"/>
        <s v="Desk Plant"/>
        <s v="Running Shoes"/>
        <s v="Graphic Tablet"/>
        <s v="Puzzle 1000pc"/>
        <s v="Smartwatch"/>
        <s v="Smartphone Case"/>
        <s v="Backpack"/>
        <s v="4K Monitor"/>
        <s v="Smart Light Bulb"/>
        <s v="LED Desk Lamp"/>
        <s v="Phone Tripod"/>
        <s v="Gaming Mouse"/>
        <s v="Memory Card 128GB"/>
        <s v="Board Game"/>
        <s v="Instant Pot"/>
        <s v="Water Bottle"/>
        <s v="Portable SSD 1TB"/>
        <s v="Noise Cancelling Headphones"/>
        <s v="Novel Bestseller"/>
        <s v="Children's Book"/>
        <s v="Laptop Sleeve"/>
        <s v="Air Fryer"/>
        <s v="Winter Jacket"/>
        <s v="Router"/>
        <s v="USB-C Charger"/>
        <s v="Fitness Band"/>
        <s v="Sunglasses"/>
        <s v="Mechanical Keyboard"/>
        <s v="Electric Kettle"/>
        <s v="Wireless Charger"/>
        <s v="HDMI Cable 2m"/>
        <s v="Desk Organizer"/>
        <s v="Yoga Mat"/>
        <s v="Action Camera"/>
        <s v="External HDD 2TB"/>
        <s v="Office Chair"/>
        <s v="Bluetooth Speaker"/>
      </sharedItems>
    </cacheField>
    <cacheField name="Category" numFmtId="0">
      <sharedItems count="6">
        <s v="Books"/>
        <s v="Home &amp; Kitchen"/>
        <s v="Clothing"/>
        <s v="Toys &amp; Games"/>
        <s v="Sports &amp; Outdoors"/>
        <s v="Electronics"/>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4.510000228881836" maxValue="598.75"/>
    </cacheField>
    <cacheField name="TotalAmount" numFmtId="0">
      <sharedItems containsSemiMixedTypes="0" containsString="0" containsNumber="1" minValue="17.700000762939453" maxValue="3160.429931640625"/>
    </cacheField>
    <cacheField name="Country" numFmtId="0">
      <sharedItems count="5">
        <s v="India"/>
        <s v="United States"/>
        <s v="Canada"/>
        <s v="Australia"/>
        <s v="United Kingdom"/>
      </sharedItems>
    </cacheField>
    <cacheField name="Month" numFmtId="0">
      <sharedItems count="60">
        <s v="2023-01"/>
        <s v="2023-12"/>
        <s v="2022-05"/>
        <s v="2023-07"/>
        <s v="2023-02"/>
        <s v="2022-12"/>
        <s v="2024-09"/>
        <s v="2022-11"/>
        <s v="2024-06"/>
        <s v="2020-05"/>
        <s v="2021-04"/>
        <s v="2023-05"/>
        <s v="2020-11"/>
        <s v="2024-01"/>
        <s v="2020-03"/>
        <s v="2023-10"/>
        <s v="2024-08"/>
        <s v="2023-08"/>
        <s v="2022-02"/>
        <s v="2020-12"/>
        <s v="2024-02"/>
        <s v="2022-03"/>
        <s v="2021-01"/>
        <s v="2023-04"/>
        <s v="2022-08"/>
        <s v="2020-10"/>
        <s v="2023-03"/>
        <s v="2020-01"/>
        <s v="2020-09"/>
        <s v="2022-01"/>
        <s v="2024-05"/>
        <s v="2021-05"/>
        <s v="2021-11"/>
        <s v="2022-09"/>
        <s v="2024-12"/>
        <s v="2020-07"/>
        <s v="2021-07"/>
        <s v="2023-06"/>
        <s v="2022-04"/>
        <s v="2024-03"/>
        <s v="2021-10"/>
        <s v="2020-06"/>
        <s v="2021-08"/>
        <s v="2020-08"/>
        <s v="2022-06"/>
        <s v="2023-09"/>
        <s v="2020-04"/>
        <s v="2020-02"/>
        <s v="2023-11"/>
        <s v="2022-10"/>
        <s v="2024-11"/>
        <s v="2021-12"/>
        <s v="2021-02"/>
        <s v="2024-04"/>
        <s v="2021-03"/>
        <s v="2024-10"/>
        <s v="2021-06"/>
        <s v="2022-07"/>
        <s v="2021-09"/>
        <s v="2024-07"/>
      </sharedItems>
    </cacheField>
  </cacheFields>
  <extLst>
    <ext xmlns:x14="http://schemas.microsoft.com/office/spreadsheetml/2009/9/main" uri="{725AE2AE-9491-48be-B2B4-4EB974FC3084}">
      <x14:pivotCacheDefinition pivotCacheId="3624450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ma mohammed" refreshedDate="46140.832146875" createdVersion="8" refreshedVersion="8" minRefreshableVersion="3" recordCount="250" xr:uid="{5266CA3D-A4B2-4454-87FE-A8559A22B9B6}">
  <cacheSource type="worksheet">
    <worksheetSource ref="A1:H251" sheet="AmazonDB"/>
  </cacheSource>
  <cacheFields count="8">
    <cacheField name="OrderDate" numFmtId="14">
      <sharedItems containsSemiMixedTypes="0" containsNonDate="0" containsDate="1" containsString="0" minDate="2020-01-14T00:00:00" maxDate="2024-12-27T00:00:00" count="236">
        <d v="2023-01-31T00:00:00"/>
        <d v="2023-12-30T00:00:00"/>
        <d v="2022-05-10T00:00:00"/>
        <d v="2023-07-18T00:00:00"/>
        <d v="2023-02-04T00:00:00"/>
        <d v="2022-12-31T00:00:00"/>
        <d v="2024-09-20T00:00:00"/>
        <d v="2022-11-10T00:00:00"/>
        <d v="2024-06-26T00:00:00"/>
        <d v="2020-05-01T00:00:00"/>
        <d v="2021-04-11T00:00:00"/>
        <d v="2023-05-23T00:00:00"/>
        <d v="2020-11-26T00:00:00"/>
        <d v="2024-01-22T00:00:00"/>
        <d v="2020-03-28T00:00:00"/>
        <d v="2023-10-28T00:00:00"/>
        <d v="2023-01-28T00:00:00"/>
        <d v="2022-05-21T00:00:00"/>
        <d v="2024-08-14T00:00:00"/>
        <d v="2020-05-10T00:00:00"/>
        <d v="2024-08-12T00:00:00"/>
        <d v="2023-08-25T00:00:00"/>
        <d v="2022-02-08T00:00:00"/>
        <d v="2020-12-09T00:00:00"/>
        <d v="2024-02-24T00:00:00"/>
        <d v="2023-12-08T00:00:00"/>
        <d v="2022-03-16T00:00:00"/>
        <d v="2021-01-20T00:00:00"/>
        <d v="2023-04-30T00:00:00"/>
        <d v="2022-08-13T00:00:00"/>
        <d v="2020-10-03T00:00:00"/>
        <d v="2023-03-30T00:00:00"/>
        <d v="2021-04-04T00:00:00"/>
        <d v="2023-08-30T00:00:00"/>
        <d v="2020-01-22T00:00:00"/>
        <d v="2020-09-09T00:00:00"/>
        <d v="2022-01-17T00:00:00"/>
        <d v="2022-05-06T00:00:00"/>
        <d v="2024-05-03T00:00:00"/>
        <d v="2021-04-19T00:00:00"/>
        <d v="2022-12-18T00:00:00"/>
        <d v="2021-05-25T00:00:00"/>
        <d v="2024-09-01T00:00:00"/>
        <d v="2024-02-08T00:00:00"/>
        <d v="2021-11-30T00:00:00"/>
        <d v="2022-09-02T00:00:00"/>
        <d v="2024-12-11T00:00:00"/>
        <d v="2020-07-08T00:00:00"/>
        <d v="2022-08-15T00:00:00"/>
        <d v="2021-11-17T00:00:00"/>
        <d v="2021-07-16T00:00:00"/>
        <d v="2024-05-09T00:00:00"/>
        <d v="2023-06-21T00:00:00"/>
        <d v="2022-04-11T00:00:00"/>
        <d v="2024-03-08T00:00:00"/>
        <d v="2023-02-28T00:00:00"/>
        <d v="2024-02-17T00:00:00"/>
        <d v="2021-10-08T00:00:00"/>
        <d v="2020-01-21T00:00:00"/>
        <d v="2022-04-20T00:00:00"/>
        <d v="2020-06-15T00:00:00"/>
        <d v="2023-07-21T00:00:00"/>
        <d v="2021-01-22T00:00:00"/>
        <d v="2021-08-23T00:00:00"/>
        <d v="2020-11-11T00:00:00"/>
        <d v="2020-01-14T00:00:00"/>
        <d v="2020-08-29T00:00:00"/>
        <d v="2022-02-15T00:00:00"/>
        <d v="2023-10-01T00:00:00"/>
        <d v="2021-07-18T00:00:00"/>
        <d v="2022-06-16T00:00:00"/>
        <d v="2023-09-25T00:00:00"/>
        <d v="2020-04-01T00:00:00"/>
        <d v="2023-10-22T00:00:00"/>
        <d v="2024-01-18T00:00:00"/>
        <d v="2023-12-22T00:00:00"/>
        <d v="2021-05-23T00:00:00"/>
        <d v="2022-02-14T00:00:00"/>
        <d v="2020-02-04T00:00:00"/>
        <d v="2020-07-24T00:00:00"/>
        <d v="2023-01-09T00:00:00"/>
        <d v="2024-05-04T00:00:00"/>
        <d v="2023-11-12T00:00:00"/>
        <d v="2022-10-22T00:00:00"/>
        <d v="2022-10-18T00:00:00"/>
        <d v="2023-11-14T00:00:00"/>
        <d v="2021-07-19T00:00:00"/>
        <d v="2023-02-03T00:00:00"/>
        <d v="2024-11-30T00:00:00"/>
        <d v="2024-02-09T00:00:00"/>
        <d v="2021-12-03T00:00:00"/>
        <d v="2021-02-05T00:00:00"/>
        <d v="2021-12-30T00:00:00"/>
        <d v="2024-04-28T00:00:00"/>
        <d v="2020-06-10T00:00:00"/>
        <d v="2020-07-20T00:00:00"/>
        <d v="2022-09-22T00:00:00"/>
        <d v="2020-09-26T00:00:00"/>
        <d v="2022-03-26T00:00:00"/>
        <d v="2021-03-31T00:00:00"/>
        <d v="2024-01-25T00:00:00"/>
        <d v="2024-10-16T00:00:00"/>
        <d v="2023-06-29T00:00:00"/>
        <d v="2022-10-13T00:00:00"/>
        <d v="2024-09-21T00:00:00"/>
        <d v="2020-10-22T00:00:00"/>
        <d v="2024-10-14T00:00:00"/>
        <d v="2021-12-20T00:00:00"/>
        <d v="2024-11-07T00:00:00"/>
        <d v="2020-12-03T00:00:00"/>
        <d v="2022-05-28T00:00:00"/>
        <d v="2022-12-12T00:00:00"/>
        <d v="2022-03-02T00:00:00"/>
        <d v="2020-08-04T00:00:00"/>
        <d v="2022-02-02T00:00:00"/>
        <d v="2020-07-06T00:00:00"/>
        <d v="2021-01-14T00:00:00"/>
        <d v="2021-05-07T00:00:00"/>
        <d v="2022-11-30T00:00:00"/>
        <d v="2023-03-26T00:00:00"/>
        <d v="2020-01-15T00:00:00"/>
        <d v="2020-03-05T00:00:00"/>
        <d v="2021-06-04T00:00:00"/>
        <d v="2023-09-29T00:00:00"/>
        <d v="2023-02-26T00:00:00"/>
        <d v="2021-10-09T00:00:00"/>
        <d v="2024-02-04T00:00:00"/>
        <d v="2022-12-22T00:00:00"/>
        <d v="2023-03-08T00:00:00"/>
        <d v="2024-03-02T00:00:00"/>
        <d v="2021-08-15T00:00:00"/>
        <d v="2021-01-26T00:00:00"/>
        <d v="2024-08-25T00:00:00"/>
        <d v="2021-02-22T00:00:00"/>
        <d v="2020-10-15T00:00:00"/>
        <d v="2021-01-13T00:00:00"/>
        <d v="2024-12-01T00:00:00"/>
        <d v="2024-02-22T00:00:00"/>
        <d v="2020-08-18T00:00:00"/>
        <d v="2022-10-14T00:00:00"/>
        <d v="2020-02-10T00:00:00"/>
        <d v="2022-11-17T00:00:00"/>
        <d v="2020-05-14T00:00:00"/>
        <d v="2020-07-19T00:00:00"/>
        <d v="2022-02-18T00:00:00"/>
        <d v="2022-07-18T00:00:00"/>
        <d v="2022-11-22T00:00:00"/>
        <d v="2022-12-07T00:00:00"/>
        <d v="2021-05-17T00:00:00"/>
        <d v="2021-02-10T00:00:00"/>
        <d v="2024-05-16T00:00:00"/>
        <d v="2024-10-17T00:00:00"/>
        <d v="2022-03-15T00:00:00"/>
        <d v="2020-04-08T00:00:00"/>
        <d v="2021-11-14T00:00:00"/>
        <d v="2021-12-26T00:00:00"/>
        <d v="2024-04-19T00:00:00"/>
        <d v="2022-08-18T00:00:00"/>
        <d v="2024-10-28T00:00:00"/>
        <d v="2021-09-04T00:00:00"/>
        <d v="2021-10-04T00:00:00"/>
        <d v="2024-11-27T00:00:00"/>
        <d v="2022-10-25T00:00:00"/>
        <d v="2023-05-26T00:00:00"/>
        <d v="2022-02-05T00:00:00"/>
        <d v="2021-02-01T00:00:00"/>
        <d v="2022-05-20T00:00:00"/>
        <d v="2022-03-05T00:00:00"/>
        <d v="2021-01-27T00:00:00"/>
        <d v="2020-07-25T00:00:00"/>
        <d v="2022-11-04T00:00:00"/>
        <d v="2024-04-26T00:00:00"/>
        <d v="2022-06-10T00:00:00"/>
        <d v="2024-01-24T00:00:00"/>
        <d v="2024-09-10T00:00:00"/>
        <d v="2024-05-17T00:00:00"/>
        <d v="2022-05-13T00:00:00"/>
        <d v="2022-01-12T00:00:00"/>
        <d v="2023-06-18T00:00:00"/>
        <d v="2021-07-17T00:00:00"/>
        <d v="2022-10-17T00:00:00"/>
        <d v="2020-04-05T00:00:00"/>
        <d v="2024-10-23T00:00:00"/>
        <d v="2021-04-29T00:00:00"/>
        <d v="2023-12-01T00:00:00"/>
        <d v="2022-01-18T00:00:00"/>
        <d v="2024-08-05T00:00:00"/>
        <d v="2023-04-09T00:00:00"/>
        <d v="2021-06-24T00:00:00"/>
        <d v="2022-11-25T00:00:00"/>
        <d v="2021-06-08T00:00:00"/>
        <d v="2023-03-29T00:00:00"/>
        <d v="2024-09-18T00:00:00"/>
        <d v="2023-06-20T00:00:00"/>
        <d v="2023-01-14T00:00:00"/>
        <d v="2024-12-24T00:00:00"/>
        <d v="2021-07-31T00:00:00"/>
        <d v="2021-11-12T00:00:00"/>
        <d v="2021-07-10T00:00:00"/>
        <d v="2022-10-09T00:00:00"/>
        <d v="2021-10-07T00:00:00"/>
        <d v="2022-03-06T00:00:00"/>
        <d v="2024-07-01T00:00:00"/>
        <d v="2024-12-26T00:00:00"/>
        <d v="2023-09-16T00:00:00"/>
        <d v="2024-07-21T00:00:00"/>
        <d v="2024-03-09T00:00:00"/>
        <d v="2023-10-03T00:00:00"/>
        <d v="2024-02-05T00:00:00"/>
        <d v="2023-06-08T00:00:00"/>
        <d v="2023-06-02T00:00:00"/>
        <d v="2023-11-09T00:00:00"/>
        <d v="2023-11-01T00:00:00"/>
        <d v="2023-07-30T00:00:00"/>
        <d v="2021-09-24T00:00:00"/>
        <d v="2021-09-19T00:00:00"/>
        <d v="2022-08-30T00:00:00"/>
        <d v="2024-11-03T00:00:00"/>
        <d v="2023-07-06T00:00:00"/>
        <d v="2023-10-14T00:00:00"/>
        <d v="2021-12-10T00:00:00"/>
        <d v="2024-01-19T00:00:00"/>
        <d v="2023-12-05T00:00:00"/>
        <d v="2021-10-10T00:00:00"/>
        <d v="2020-11-13T00:00:00"/>
        <d v="2024-08-27T00:00:00"/>
        <d v="2023-06-11T00:00:00"/>
        <d v="2021-10-25T00:00:00"/>
        <d v="2023-10-29T00:00:00"/>
        <d v="2024-08-22T00:00:00"/>
        <d v="2024-06-19T00:00:00"/>
        <d v="2023-06-10T00:00:00"/>
        <d v="2024-09-11T00:00:00"/>
        <d v="2023-02-10T00:00:00"/>
        <d v="2024-02-29T00:00:00"/>
        <d v="2021-03-17T00:00:00"/>
      </sharedItems>
    </cacheField>
    <cacheField name="CustomerName" numFmtId="0">
      <sharedItems/>
    </cacheField>
    <cacheField name="ProductName" numFmtId="0">
      <sharedItems count="50">
        <s v="Drone Mini"/>
        <s v="Microphone"/>
        <s v="Power Bank 20000mAh"/>
        <s v="Webcam Full HD"/>
        <s v="T-Shirt"/>
        <s v="Cookware Set"/>
        <s v="Dress Shirt"/>
        <s v="Jeans"/>
        <s v="Kids Toy Car"/>
        <s v="Wireless Earbuds"/>
        <s v="Car Charger"/>
        <s v="Projector Mini"/>
        <s v="Vacuum Cleaner"/>
        <s v="Desk Plant"/>
        <s v="Running Shoes"/>
        <s v="Graphic Tablet"/>
        <s v="Puzzle 1000pc"/>
        <s v="Smartwatch"/>
        <s v="Smartphone Case"/>
        <s v="Backpack"/>
        <s v="4K Monitor"/>
        <s v="Smart Light Bulb"/>
        <s v="LED Desk Lamp"/>
        <s v="Phone Tripod"/>
        <s v="Gaming Mouse"/>
        <s v="Memory Card 128GB"/>
        <s v="Board Game"/>
        <s v="Instant Pot"/>
        <s v="Water Bottle"/>
        <s v="Portable SSD 1TB"/>
        <s v="Noise Cancelling Headphones"/>
        <s v="Novel Bestseller"/>
        <s v="Children's Book"/>
        <s v="Laptop Sleeve"/>
        <s v="Air Fryer"/>
        <s v="Winter Jacket"/>
        <s v="Router"/>
        <s v="USB-C Charger"/>
        <s v="Fitness Band"/>
        <s v="Sunglasses"/>
        <s v="Mechanical Keyboard"/>
        <s v="Electric Kettle"/>
        <s v="Wireless Charger"/>
        <s v="HDMI Cable 2m"/>
        <s v="Desk Organizer"/>
        <s v="Yoga Mat"/>
        <s v="Action Camera"/>
        <s v="External HDD 2TB"/>
        <s v="Office Chair"/>
        <s v="Bluetooth Speaker"/>
      </sharedItems>
    </cacheField>
    <cacheField name="Category" numFmtId="0">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4.510000228881836" maxValue="598.75"/>
    </cacheField>
    <cacheField name="TotalAmount" numFmtId="0">
      <sharedItems containsSemiMixedTypes="0" containsString="0" containsNumber="1" minValue="17.700000762939453" maxValue="3160.429931640625"/>
    </cacheField>
    <cacheField name="Country" numFmtId="0">
      <sharedItems count="5">
        <s v="India"/>
        <s v="United States"/>
        <s v="Canada"/>
        <s v="Australia"/>
        <s v="United Kingdo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d v="2023-01-31T00:00:00"/>
    <x v="0"/>
    <x v="0"/>
    <x v="0"/>
    <n v="3"/>
    <n v="106.58999633789063"/>
    <n v="319.8599853515625"/>
    <x v="0"/>
    <x v="0"/>
  </r>
  <r>
    <d v="2023-12-30T00:00:00"/>
    <x v="1"/>
    <x v="1"/>
    <x v="1"/>
    <n v="1"/>
    <n v="251.3699951171875"/>
    <n v="259.6400146484375"/>
    <x v="1"/>
    <x v="1"/>
  </r>
  <r>
    <d v="2022-05-10T00:00:00"/>
    <x v="2"/>
    <x v="2"/>
    <x v="2"/>
    <n v="3"/>
    <n v="35.029998779296875"/>
    <n v="108.05999755859375"/>
    <x v="1"/>
    <x v="2"/>
  </r>
  <r>
    <d v="2023-07-18T00:00:00"/>
    <x v="3"/>
    <x v="3"/>
    <x v="1"/>
    <n v="5"/>
    <n v="33.580001831054688"/>
    <n v="159.66000366210938"/>
    <x v="0"/>
    <x v="3"/>
  </r>
  <r>
    <d v="2023-02-04T00:00:00"/>
    <x v="4"/>
    <x v="4"/>
    <x v="2"/>
    <n v="2"/>
    <n v="515.6400146484375"/>
    <n v="821.3599853515625"/>
    <x v="2"/>
    <x v="4"/>
  </r>
  <r>
    <d v="2022-12-31T00:00:00"/>
    <x v="5"/>
    <x v="5"/>
    <x v="0"/>
    <n v="4"/>
    <n v="449.73001098632813"/>
    <n v="2017.530029296875"/>
    <x v="1"/>
    <x v="5"/>
  </r>
  <r>
    <d v="2024-09-20T00:00:00"/>
    <x v="6"/>
    <x v="6"/>
    <x v="2"/>
    <n v="2"/>
    <n v="219.80999755859375"/>
    <n v="394.80999755859375"/>
    <x v="3"/>
    <x v="6"/>
  </r>
  <r>
    <d v="2022-11-10T00:00:00"/>
    <x v="7"/>
    <x v="7"/>
    <x v="3"/>
    <n v="2"/>
    <n v="306.510009765625"/>
    <n v="617.72998046875"/>
    <x v="0"/>
    <x v="7"/>
  </r>
  <r>
    <d v="2024-06-26T00:00:00"/>
    <x v="8"/>
    <x v="8"/>
    <x v="4"/>
    <n v="4"/>
    <n v="146.08999633789063"/>
    <n v="638.1400146484375"/>
    <x v="1"/>
    <x v="8"/>
  </r>
  <r>
    <d v="2020-05-01T00:00:00"/>
    <x v="9"/>
    <x v="9"/>
    <x v="2"/>
    <n v="2"/>
    <n v="278.20999145507813"/>
    <n v="565.75"/>
    <x v="1"/>
    <x v="9"/>
  </r>
  <r>
    <d v="2021-04-11T00:00:00"/>
    <x v="10"/>
    <x v="10"/>
    <x v="0"/>
    <n v="1"/>
    <n v="141.41999816894531"/>
    <n v="150.77000427246094"/>
    <x v="3"/>
    <x v="10"/>
  </r>
  <r>
    <d v="2023-05-23T00:00:00"/>
    <x v="11"/>
    <x v="11"/>
    <x v="1"/>
    <n v="5"/>
    <n v="346.55999755859375"/>
    <n v="1791.22998046875"/>
    <x v="3"/>
    <x v="11"/>
  </r>
  <r>
    <d v="2020-11-26T00:00:00"/>
    <x v="12"/>
    <x v="12"/>
    <x v="1"/>
    <n v="4"/>
    <n v="496.760009765625"/>
    <n v="1986.5"/>
    <x v="1"/>
    <x v="12"/>
  </r>
  <r>
    <d v="2024-01-22T00:00:00"/>
    <x v="13"/>
    <x v="1"/>
    <x v="1"/>
    <n v="3"/>
    <n v="523.27001953125"/>
    <n v="1766.22998046875"/>
    <x v="1"/>
    <x v="13"/>
  </r>
  <r>
    <d v="2020-03-28T00:00:00"/>
    <x v="14"/>
    <x v="13"/>
    <x v="0"/>
    <n v="4"/>
    <n v="291.3699951171875"/>
    <n v="1103.1400146484375"/>
    <x v="1"/>
    <x v="14"/>
  </r>
  <r>
    <d v="2023-10-28T00:00:00"/>
    <x v="15"/>
    <x v="7"/>
    <x v="4"/>
    <n v="4"/>
    <n v="533.1199951171875"/>
    <n v="1681.9100341796875"/>
    <x v="1"/>
    <x v="15"/>
  </r>
  <r>
    <d v="2023-01-28T00:00:00"/>
    <x v="16"/>
    <x v="14"/>
    <x v="1"/>
    <n v="4"/>
    <n v="453.47000122070313"/>
    <n v="1636.8800048828125"/>
    <x v="1"/>
    <x v="0"/>
  </r>
  <r>
    <d v="2022-05-21T00:00:00"/>
    <x v="17"/>
    <x v="15"/>
    <x v="3"/>
    <n v="5"/>
    <n v="547.58001708984375"/>
    <n v="2747.9599609375"/>
    <x v="1"/>
    <x v="2"/>
  </r>
  <r>
    <d v="2024-08-14T00:00:00"/>
    <x v="18"/>
    <x v="16"/>
    <x v="5"/>
    <n v="5"/>
    <n v="529.19000244140625"/>
    <n v="2968.030029296875"/>
    <x v="1"/>
    <x v="16"/>
  </r>
  <r>
    <d v="2020-05-10T00:00:00"/>
    <x v="19"/>
    <x v="1"/>
    <x v="4"/>
    <n v="3"/>
    <n v="303.52999877929688"/>
    <n v="987.6199951171875"/>
    <x v="1"/>
    <x v="9"/>
  </r>
  <r>
    <d v="2024-08-12T00:00:00"/>
    <x v="20"/>
    <x v="7"/>
    <x v="3"/>
    <n v="1"/>
    <n v="226.25999450683594"/>
    <n v="247.1199951171875"/>
    <x v="1"/>
    <x v="16"/>
  </r>
  <r>
    <d v="2023-08-25T00:00:00"/>
    <x v="13"/>
    <x v="17"/>
    <x v="0"/>
    <n v="4"/>
    <n v="493.47000122070313"/>
    <n v="2084.3701171875"/>
    <x v="3"/>
    <x v="17"/>
  </r>
  <r>
    <d v="2022-02-08T00:00:00"/>
    <x v="21"/>
    <x v="18"/>
    <x v="3"/>
    <n v="5"/>
    <n v="452.1199951171875"/>
    <n v="2383.25"/>
    <x v="2"/>
    <x v="18"/>
  </r>
  <r>
    <d v="2020-12-09T00:00:00"/>
    <x v="22"/>
    <x v="19"/>
    <x v="5"/>
    <n v="3"/>
    <n v="107.94999694824219"/>
    <n v="299.760009765625"/>
    <x v="1"/>
    <x v="19"/>
  </r>
  <r>
    <d v="2024-02-24T00:00:00"/>
    <x v="23"/>
    <x v="20"/>
    <x v="3"/>
    <n v="1"/>
    <n v="16.680000305175781"/>
    <n v="17.700000762939453"/>
    <x v="1"/>
    <x v="20"/>
  </r>
  <r>
    <d v="2023-12-08T00:00:00"/>
    <x v="24"/>
    <x v="6"/>
    <x v="2"/>
    <n v="4"/>
    <n v="380.23001098632813"/>
    <n v="1286.8599853515625"/>
    <x v="2"/>
    <x v="1"/>
  </r>
  <r>
    <d v="2022-03-16T00:00:00"/>
    <x v="20"/>
    <x v="21"/>
    <x v="3"/>
    <n v="3"/>
    <n v="569.69000244140625"/>
    <n v="1449.8900146484375"/>
    <x v="1"/>
    <x v="21"/>
  </r>
  <r>
    <d v="2021-01-20T00:00:00"/>
    <x v="25"/>
    <x v="22"/>
    <x v="0"/>
    <n v="3"/>
    <n v="138.33000183105469"/>
    <n v="468.16000366210938"/>
    <x v="4"/>
    <x v="22"/>
  </r>
  <r>
    <d v="2023-04-30T00:00:00"/>
    <x v="26"/>
    <x v="21"/>
    <x v="5"/>
    <n v="3"/>
    <n v="381.45001220703125"/>
    <n v="1359.3199462890625"/>
    <x v="1"/>
    <x v="23"/>
  </r>
  <r>
    <d v="2022-08-13T00:00:00"/>
    <x v="27"/>
    <x v="23"/>
    <x v="3"/>
    <n v="5"/>
    <n v="199.99000549316406"/>
    <n v="1185.1300048828125"/>
    <x v="1"/>
    <x v="24"/>
  </r>
  <r>
    <d v="2020-10-03T00:00:00"/>
    <x v="28"/>
    <x v="10"/>
    <x v="0"/>
    <n v="2"/>
    <n v="269.79998779296875"/>
    <n v="638.219970703125"/>
    <x v="4"/>
    <x v="25"/>
  </r>
  <r>
    <d v="2023-03-30T00:00:00"/>
    <x v="29"/>
    <x v="24"/>
    <x v="4"/>
    <n v="4"/>
    <n v="126.5"/>
    <n v="485.17999267578125"/>
    <x v="0"/>
    <x v="26"/>
  </r>
  <r>
    <d v="2021-04-04T00:00:00"/>
    <x v="30"/>
    <x v="25"/>
    <x v="5"/>
    <n v="2"/>
    <n v="151.94999694824219"/>
    <n v="306.6400146484375"/>
    <x v="1"/>
    <x v="10"/>
  </r>
  <r>
    <d v="2023-08-30T00:00:00"/>
    <x v="31"/>
    <x v="10"/>
    <x v="2"/>
    <n v="1"/>
    <n v="218.74000549316406"/>
    <n v="241.89999389648438"/>
    <x v="1"/>
    <x v="17"/>
  </r>
  <r>
    <d v="2020-01-22T00:00:00"/>
    <x v="32"/>
    <x v="19"/>
    <x v="4"/>
    <n v="5"/>
    <n v="294.79998779296875"/>
    <n v="1489.8699951171875"/>
    <x v="1"/>
    <x v="27"/>
  </r>
  <r>
    <d v="2020-09-09T00:00:00"/>
    <x v="33"/>
    <x v="16"/>
    <x v="0"/>
    <n v="1"/>
    <n v="357.760009765625"/>
    <n v="275.07998657226563"/>
    <x v="4"/>
    <x v="28"/>
  </r>
  <r>
    <d v="2022-01-17T00:00:00"/>
    <x v="34"/>
    <x v="26"/>
    <x v="5"/>
    <n v="5"/>
    <n v="448.8900146484375"/>
    <n v="2427.31005859375"/>
    <x v="1"/>
    <x v="29"/>
  </r>
  <r>
    <d v="2022-05-06T00:00:00"/>
    <x v="35"/>
    <x v="27"/>
    <x v="5"/>
    <n v="4"/>
    <n v="300.8900146484375"/>
    <n v="1348.4200439453125"/>
    <x v="1"/>
    <x v="2"/>
  </r>
  <r>
    <d v="2024-05-03T00:00:00"/>
    <x v="36"/>
    <x v="1"/>
    <x v="1"/>
    <n v="5"/>
    <n v="512.8800048828125"/>
    <n v="2030.800048828125"/>
    <x v="4"/>
    <x v="30"/>
  </r>
  <r>
    <d v="2021-04-19T00:00:00"/>
    <x v="29"/>
    <x v="17"/>
    <x v="0"/>
    <n v="2"/>
    <n v="81.819999694824219"/>
    <n v="159.11000061035156"/>
    <x v="1"/>
    <x v="10"/>
  </r>
  <r>
    <d v="2022-12-18T00:00:00"/>
    <x v="35"/>
    <x v="13"/>
    <x v="4"/>
    <n v="3"/>
    <n v="215.89999389648438"/>
    <n v="733.8699951171875"/>
    <x v="1"/>
    <x v="5"/>
  </r>
  <r>
    <d v="2021-05-25T00:00:00"/>
    <x v="37"/>
    <x v="28"/>
    <x v="0"/>
    <n v="5"/>
    <n v="574.280029296875"/>
    <n v="2715.699951171875"/>
    <x v="1"/>
    <x v="31"/>
  </r>
  <r>
    <d v="2024-09-01T00:00:00"/>
    <x v="38"/>
    <x v="8"/>
    <x v="1"/>
    <n v="4"/>
    <n v="109.58999633789063"/>
    <n v="481.01998901367188"/>
    <x v="0"/>
    <x v="6"/>
  </r>
  <r>
    <d v="2024-02-08T00:00:00"/>
    <x v="39"/>
    <x v="14"/>
    <x v="3"/>
    <n v="3"/>
    <n v="88.459999084472656"/>
    <n v="268.89999389648438"/>
    <x v="1"/>
    <x v="20"/>
  </r>
  <r>
    <d v="2021-11-30T00:00:00"/>
    <x v="33"/>
    <x v="13"/>
    <x v="5"/>
    <n v="4"/>
    <n v="395.6400146484375"/>
    <n v="1627.5899658203125"/>
    <x v="1"/>
    <x v="32"/>
  </r>
  <r>
    <d v="2022-09-02T00:00:00"/>
    <x v="40"/>
    <x v="29"/>
    <x v="3"/>
    <n v="2"/>
    <n v="449.1400146484375"/>
    <n v="858.989990234375"/>
    <x v="1"/>
    <x v="33"/>
  </r>
  <r>
    <d v="2024-12-11T00:00:00"/>
    <x v="41"/>
    <x v="15"/>
    <x v="5"/>
    <n v="4"/>
    <n v="121.44999694824219"/>
    <n v="489.54998779296875"/>
    <x v="1"/>
    <x v="34"/>
  </r>
  <r>
    <d v="2020-07-08T00:00:00"/>
    <x v="42"/>
    <x v="6"/>
    <x v="3"/>
    <n v="2"/>
    <n v="140.88999938964844"/>
    <n v="289.58999633789063"/>
    <x v="3"/>
    <x v="35"/>
  </r>
  <r>
    <d v="2022-08-15T00:00:00"/>
    <x v="43"/>
    <x v="0"/>
    <x v="0"/>
    <n v="3"/>
    <n v="249.83999633789063"/>
    <n v="650.8499755859375"/>
    <x v="3"/>
    <x v="24"/>
  </r>
  <r>
    <d v="2021-11-17T00:00:00"/>
    <x v="44"/>
    <x v="30"/>
    <x v="0"/>
    <n v="3"/>
    <n v="482.3699951171875"/>
    <n v="1300.27001953125"/>
    <x v="0"/>
    <x v="32"/>
  </r>
  <r>
    <d v="2022-08-15T00:00:00"/>
    <x v="45"/>
    <x v="25"/>
    <x v="0"/>
    <n v="3"/>
    <n v="244.83000183105469"/>
    <n v="558.94000244140625"/>
    <x v="3"/>
    <x v="24"/>
  </r>
  <r>
    <d v="2021-07-16T00:00:00"/>
    <x v="46"/>
    <x v="15"/>
    <x v="5"/>
    <n v="4"/>
    <n v="353.85000610351563"/>
    <n v="1417.949951171875"/>
    <x v="1"/>
    <x v="36"/>
  </r>
  <r>
    <d v="2024-05-09T00:00:00"/>
    <x v="47"/>
    <x v="31"/>
    <x v="5"/>
    <n v="3"/>
    <n v="324.760009765625"/>
    <n v="716.8499755859375"/>
    <x v="1"/>
    <x v="30"/>
  </r>
  <r>
    <d v="2023-06-21T00:00:00"/>
    <x v="47"/>
    <x v="32"/>
    <x v="4"/>
    <n v="1"/>
    <n v="491.77999877929688"/>
    <n v="500.85000610351563"/>
    <x v="0"/>
    <x v="37"/>
  </r>
  <r>
    <d v="2022-04-11T00:00:00"/>
    <x v="32"/>
    <x v="2"/>
    <x v="5"/>
    <n v="4"/>
    <n v="549.219970703125"/>
    <n v="2199.610107421875"/>
    <x v="1"/>
    <x v="38"/>
  </r>
  <r>
    <d v="2024-03-08T00:00:00"/>
    <x v="48"/>
    <x v="2"/>
    <x v="1"/>
    <n v="4"/>
    <n v="364.07998657226563"/>
    <n v="1236.260009765625"/>
    <x v="1"/>
    <x v="39"/>
  </r>
  <r>
    <d v="2023-02-28T00:00:00"/>
    <x v="49"/>
    <x v="28"/>
    <x v="4"/>
    <n v="2"/>
    <n v="509.58999633789063"/>
    <n v="1206.4200439453125"/>
    <x v="1"/>
    <x v="4"/>
  </r>
  <r>
    <d v="2024-02-17T00:00:00"/>
    <x v="50"/>
    <x v="33"/>
    <x v="2"/>
    <n v="5"/>
    <n v="182.55000305175781"/>
    <n v="970.469970703125"/>
    <x v="2"/>
    <x v="20"/>
  </r>
  <r>
    <d v="2021-10-08T00:00:00"/>
    <x v="51"/>
    <x v="34"/>
    <x v="3"/>
    <n v="3"/>
    <n v="184.69999694824219"/>
    <n v="442.3900146484375"/>
    <x v="1"/>
    <x v="40"/>
  </r>
  <r>
    <d v="2020-01-21T00:00:00"/>
    <x v="52"/>
    <x v="35"/>
    <x v="5"/>
    <n v="2"/>
    <n v="439.79998779296875"/>
    <n v="931.1300048828125"/>
    <x v="0"/>
    <x v="27"/>
  </r>
  <r>
    <d v="2022-04-20T00:00:00"/>
    <x v="18"/>
    <x v="36"/>
    <x v="0"/>
    <n v="4"/>
    <n v="593.02001953125"/>
    <n v="2668.2900390625"/>
    <x v="0"/>
    <x v="38"/>
  </r>
  <r>
    <d v="2020-06-15T00:00:00"/>
    <x v="53"/>
    <x v="14"/>
    <x v="1"/>
    <n v="3"/>
    <n v="131.36000061035156"/>
    <n v="472.260009765625"/>
    <x v="2"/>
    <x v="41"/>
  </r>
  <r>
    <d v="2023-07-21T00:00:00"/>
    <x v="21"/>
    <x v="37"/>
    <x v="3"/>
    <n v="3"/>
    <n v="71.260002136230469"/>
    <n v="226.77000427246094"/>
    <x v="1"/>
    <x v="3"/>
  </r>
  <r>
    <d v="2021-01-22T00:00:00"/>
    <x v="54"/>
    <x v="36"/>
    <x v="0"/>
    <n v="5"/>
    <n v="107.11000061035156"/>
    <n v="547.1300048828125"/>
    <x v="1"/>
    <x v="22"/>
  </r>
  <r>
    <d v="2021-08-23T00:00:00"/>
    <x v="6"/>
    <x v="15"/>
    <x v="3"/>
    <n v="5"/>
    <n v="417.27999877929688"/>
    <n v="1871.760009765625"/>
    <x v="0"/>
    <x v="42"/>
  </r>
  <r>
    <d v="2020-11-11T00:00:00"/>
    <x v="46"/>
    <x v="36"/>
    <x v="0"/>
    <n v="2"/>
    <n v="559.030029296875"/>
    <n v="1068.1800537109375"/>
    <x v="1"/>
    <x v="12"/>
  </r>
  <r>
    <d v="2020-01-14T00:00:00"/>
    <x v="17"/>
    <x v="10"/>
    <x v="1"/>
    <n v="4"/>
    <n v="203.83999633789063"/>
    <n v="784.19000244140625"/>
    <x v="0"/>
    <x v="27"/>
  </r>
  <r>
    <d v="2020-08-29T00:00:00"/>
    <x v="55"/>
    <x v="20"/>
    <x v="2"/>
    <n v="4"/>
    <n v="129.89999389648438"/>
    <n v="561.97998046875"/>
    <x v="1"/>
    <x v="43"/>
  </r>
  <r>
    <d v="2022-02-15T00:00:00"/>
    <x v="36"/>
    <x v="31"/>
    <x v="0"/>
    <n v="5"/>
    <n v="105.16000366210938"/>
    <n v="565.3800048828125"/>
    <x v="1"/>
    <x v="18"/>
  </r>
  <r>
    <d v="2023-10-01T00:00:00"/>
    <x v="56"/>
    <x v="3"/>
    <x v="5"/>
    <n v="1"/>
    <n v="82.790000915527344"/>
    <n v="98.169998168945313"/>
    <x v="1"/>
    <x v="15"/>
  </r>
  <r>
    <d v="2021-07-18T00:00:00"/>
    <x v="57"/>
    <x v="28"/>
    <x v="4"/>
    <n v="4"/>
    <n v="433.70001220703125"/>
    <n v="1662.1099853515625"/>
    <x v="1"/>
    <x v="36"/>
  </r>
  <r>
    <d v="2022-06-16T00:00:00"/>
    <x v="58"/>
    <x v="38"/>
    <x v="1"/>
    <n v="3"/>
    <n v="137.10000610351563"/>
    <n v="457.07998657226563"/>
    <x v="1"/>
    <x v="44"/>
  </r>
  <r>
    <d v="2023-09-25T00:00:00"/>
    <x v="59"/>
    <x v="35"/>
    <x v="3"/>
    <n v="5"/>
    <n v="582.65997314453125"/>
    <n v="3160.429931640625"/>
    <x v="1"/>
    <x v="45"/>
  </r>
  <r>
    <d v="2020-04-01T00:00:00"/>
    <x v="60"/>
    <x v="15"/>
    <x v="1"/>
    <n v="2"/>
    <n v="522.55999755859375"/>
    <n v="1129.1600341796875"/>
    <x v="1"/>
    <x v="46"/>
  </r>
  <r>
    <d v="2023-10-22T00:00:00"/>
    <x v="61"/>
    <x v="17"/>
    <x v="4"/>
    <n v="2"/>
    <n v="354.17999267578125"/>
    <n v="756.17999267578125"/>
    <x v="1"/>
    <x v="15"/>
  </r>
  <r>
    <d v="2022-08-13T00:00:00"/>
    <x v="62"/>
    <x v="17"/>
    <x v="2"/>
    <n v="4"/>
    <n v="437.47000122070313"/>
    <n v="2073.679931640625"/>
    <x v="2"/>
    <x v="24"/>
  </r>
  <r>
    <d v="2024-01-18T00:00:00"/>
    <x v="63"/>
    <x v="39"/>
    <x v="3"/>
    <n v="1"/>
    <n v="392.70999145507813"/>
    <n v="403.67001342773438"/>
    <x v="1"/>
    <x v="13"/>
  </r>
  <r>
    <d v="2023-12-22T00:00:00"/>
    <x v="64"/>
    <x v="38"/>
    <x v="5"/>
    <n v="1"/>
    <n v="592.90997314453125"/>
    <n v="598.25"/>
    <x v="1"/>
    <x v="1"/>
  </r>
  <r>
    <d v="2021-05-23T00:00:00"/>
    <x v="65"/>
    <x v="29"/>
    <x v="1"/>
    <n v="2"/>
    <n v="76.970001220703125"/>
    <n v="166.55000305175781"/>
    <x v="3"/>
    <x v="31"/>
  </r>
  <r>
    <d v="2022-02-14T00:00:00"/>
    <x v="19"/>
    <x v="40"/>
    <x v="5"/>
    <n v="1"/>
    <n v="534.30999755859375"/>
    <n v="553.05999755859375"/>
    <x v="0"/>
    <x v="18"/>
  </r>
  <r>
    <d v="2020-02-04T00:00:00"/>
    <x v="66"/>
    <x v="17"/>
    <x v="3"/>
    <n v="2"/>
    <n v="402.76998901367188"/>
    <n v="816.5999755859375"/>
    <x v="0"/>
    <x v="47"/>
  </r>
  <r>
    <d v="2020-07-24T00:00:00"/>
    <x v="26"/>
    <x v="6"/>
    <x v="1"/>
    <n v="3"/>
    <n v="335.10000610351563"/>
    <n v="981.3900146484375"/>
    <x v="1"/>
    <x v="35"/>
  </r>
  <r>
    <d v="2023-01-09T00:00:00"/>
    <x v="67"/>
    <x v="34"/>
    <x v="0"/>
    <n v="3"/>
    <n v="258.1300048828125"/>
    <n v="875.780029296875"/>
    <x v="1"/>
    <x v="0"/>
  </r>
  <r>
    <d v="2024-05-04T00:00:00"/>
    <x v="68"/>
    <x v="1"/>
    <x v="4"/>
    <n v="1"/>
    <n v="594.66998291015625"/>
    <n v="553.1300048828125"/>
    <x v="1"/>
    <x v="30"/>
  </r>
  <r>
    <d v="2023-11-12T00:00:00"/>
    <x v="23"/>
    <x v="21"/>
    <x v="5"/>
    <n v="4"/>
    <n v="494.1300048828125"/>
    <n v="2110.18994140625"/>
    <x v="1"/>
    <x v="48"/>
  </r>
  <r>
    <d v="2022-10-22T00:00:00"/>
    <x v="51"/>
    <x v="41"/>
    <x v="4"/>
    <n v="4"/>
    <n v="15.470000267028809"/>
    <n v="73.279998779296875"/>
    <x v="1"/>
    <x v="49"/>
  </r>
  <r>
    <d v="2022-10-18T00:00:00"/>
    <x v="69"/>
    <x v="41"/>
    <x v="4"/>
    <n v="4"/>
    <n v="28.590000152587891"/>
    <n v="147.96000671386719"/>
    <x v="1"/>
    <x v="49"/>
  </r>
  <r>
    <d v="2023-11-14T00:00:00"/>
    <x v="70"/>
    <x v="5"/>
    <x v="5"/>
    <n v="5"/>
    <n v="456.57998657226563"/>
    <n v="2103.179931640625"/>
    <x v="2"/>
    <x v="48"/>
  </r>
  <r>
    <d v="2021-07-19T00:00:00"/>
    <x v="8"/>
    <x v="4"/>
    <x v="0"/>
    <n v="3"/>
    <n v="324.30999755859375"/>
    <n v="845.239990234375"/>
    <x v="1"/>
    <x v="36"/>
  </r>
  <r>
    <d v="2023-02-03T00:00:00"/>
    <x v="11"/>
    <x v="27"/>
    <x v="0"/>
    <n v="5"/>
    <n v="342.260009765625"/>
    <n v="1485.8499755859375"/>
    <x v="1"/>
    <x v="4"/>
  </r>
  <r>
    <d v="2024-11-30T00:00:00"/>
    <x v="35"/>
    <x v="34"/>
    <x v="2"/>
    <n v="5"/>
    <n v="201.16000366210938"/>
    <n v="878.3900146484375"/>
    <x v="1"/>
    <x v="50"/>
  </r>
  <r>
    <d v="2024-02-09T00:00:00"/>
    <x v="55"/>
    <x v="23"/>
    <x v="4"/>
    <n v="4"/>
    <n v="555.989990234375"/>
    <n v="2367.550048828125"/>
    <x v="1"/>
    <x v="20"/>
  </r>
  <r>
    <d v="2021-12-03T00:00:00"/>
    <x v="71"/>
    <x v="28"/>
    <x v="1"/>
    <n v="5"/>
    <n v="138.55999755859375"/>
    <n v="589.65997314453125"/>
    <x v="1"/>
    <x v="51"/>
  </r>
  <r>
    <d v="2021-02-05T00:00:00"/>
    <x v="72"/>
    <x v="42"/>
    <x v="2"/>
    <n v="4"/>
    <n v="409.77999877929688"/>
    <n v="1948.449951171875"/>
    <x v="1"/>
    <x v="52"/>
  </r>
  <r>
    <d v="2021-12-30T00:00:00"/>
    <x v="73"/>
    <x v="23"/>
    <x v="5"/>
    <n v="4"/>
    <n v="42.310001373291016"/>
    <n v="165.78999328613281"/>
    <x v="1"/>
    <x v="51"/>
  </r>
  <r>
    <d v="2024-04-28T00:00:00"/>
    <x v="28"/>
    <x v="43"/>
    <x v="5"/>
    <n v="1"/>
    <n v="170.8800048828125"/>
    <n v="160.69999694824219"/>
    <x v="1"/>
    <x v="53"/>
  </r>
  <r>
    <d v="2020-06-10T00:00:00"/>
    <x v="37"/>
    <x v="42"/>
    <x v="0"/>
    <n v="3"/>
    <n v="548.16998291015625"/>
    <n v="1564.9100341796875"/>
    <x v="1"/>
    <x v="41"/>
  </r>
  <r>
    <d v="2020-07-20T00:00:00"/>
    <x v="74"/>
    <x v="21"/>
    <x v="5"/>
    <n v="4"/>
    <n v="260.91000366210938"/>
    <n v="1129.989990234375"/>
    <x v="1"/>
    <x v="35"/>
  </r>
  <r>
    <d v="2022-09-22T00:00:00"/>
    <x v="75"/>
    <x v="7"/>
    <x v="0"/>
    <n v="5"/>
    <n v="384.55999755859375"/>
    <n v="1777.75"/>
    <x v="1"/>
    <x v="33"/>
  </r>
  <r>
    <d v="2020-09-26T00:00:00"/>
    <x v="38"/>
    <x v="5"/>
    <x v="5"/>
    <n v="1"/>
    <n v="206.19999694824219"/>
    <n v="231.77999877929688"/>
    <x v="0"/>
    <x v="28"/>
  </r>
  <r>
    <d v="2022-03-26T00:00:00"/>
    <x v="76"/>
    <x v="12"/>
    <x v="4"/>
    <n v="4"/>
    <n v="369.47000122070313"/>
    <n v="1312.47998046875"/>
    <x v="1"/>
    <x v="21"/>
  </r>
  <r>
    <d v="2023-07-18T00:00:00"/>
    <x v="28"/>
    <x v="0"/>
    <x v="0"/>
    <n v="1"/>
    <n v="29.370000839233398"/>
    <n v="36.290000915527344"/>
    <x v="1"/>
    <x v="3"/>
  </r>
  <r>
    <d v="2021-03-31T00:00:00"/>
    <x v="77"/>
    <x v="23"/>
    <x v="1"/>
    <n v="2"/>
    <n v="159.82000732421875"/>
    <n v="321.3900146484375"/>
    <x v="1"/>
    <x v="54"/>
  </r>
  <r>
    <d v="2024-01-25T00:00:00"/>
    <x v="23"/>
    <x v="8"/>
    <x v="3"/>
    <n v="4"/>
    <n v="548.3900146484375"/>
    <n v="2315.5"/>
    <x v="1"/>
    <x v="13"/>
  </r>
  <r>
    <d v="2024-10-16T00:00:00"/>
    <x v="78"/>
    <x v="16"/>
    <x v="5"/>
    <n v="3"/>
    <n v="99.050003051757813"/>
    <n v="316.8800048828125"/>
    <x v="1"/>
    <x v="55"/>
  </r>
  <r>
    <d v="2023-06-29T00:00:00"/>
    <x v="79"/>
    <x v="41"/>
    <x v="3"/>
    <n v="1"/>
    <n v="113.26999664306641"/>
    <n v="113.20999908447266"/>
    <x v="1"/>
    <x v="37"/>
  </r>
  <r>
    <d v="2022-10-13T00:00:00"/>
    <x v="80"/>
    <x v="21"/>
    <x v="4"/>
    <n v="3"/>
    <n v="297.260009765625"/>
    <n v="954.09002685546875"/>
    <x v="1"/>
    <x v="49"/>
  </r>
  <r>
    <d v="2024-09-21T00:00:00"/>
    <x v="81"/>
    <x v="44"/>
    <x v="2"/>
    <n v="1"/>
    <n v="483.5"/>
    <n v="526.79998779296875"/>
    <x v="1"/>
    <x v="6"/>
  </r>
  <r>
    <d v="2020-10-22T00:00:00"/>
    <x v="79"/>
    <x v="33"/>
    <x v="4"/>
    <n v="3"/>
    <n v="127.41999816894531"/>
    <n v="343.04998779296875"/>
    <x v="1"/>
    <x v="25"/>
  </r>
  <r>
    <d v="2024-10-14T00:00:00"/>
    <x v="42"/>
    <x v="5"/>
    <x v="4"/>
    <n v="5"/>
    <n v="520.69000244140625"/>
    <n v="2743.60009765625"/>
    <x v="0"/>
    <x v="55"/>
  </r>
  <r>
    <d v="2021-12-20T00:00:00"/>
    <x v="25"/>
    <x v="4"/>
    <x v="2"/>
    <n v="5"/>
    <n v="61.479999542236328"/>
    <n v="365.3699951171875"/>
    <x v="1"/>
    <x v="51"/>
  </r>
  <r>
    <d v="2024-11-07T00:00:00"/>
    <x v="22"/>
    <x v="28"/>
    <x v="0"/>
    <n v="5"/>
    <n v="314"/>
    <n v="1860.739990234375"/>
    <x v="1"/>
    <x v="50"/>
  </r>
  <r>
    <d v="2020-12-03T00:00:00"/>
    <x v="82"/>
    <x v="45"/>
    <x v="4"/>
    <n v="4"/>
    <n v="189.69999694824219"/>
    <n v="610.760009765625"/>
    <x v="1"/>
    <x v="19"/>
  </r>
  <r>
    <d v="2022-05-28T00:00:00"/>
    <x v="83"/>
    <x v="21"/>
    <x v="2"/>
    <n v="2"/>
    <n v="103.29000091552734"/>
    <n v="165.80999755859375"/>
    <x v="1"/>
    <x v="2"/>
  </r>
  <r>
    <d v="2022-12-12T00:00:00"/>
    <x v="50"/>
    <x v="30"/>
    <x v="1"/>
    <n v="3"/>
    <n v="167.08000183105469"/>
    <n v="548.6300048828125"/>
    <x v="1"/>
    <x v="5"/>
  </r>
  <r>
    <d v="2022-03-02T00:00:00"/>
    <x v="84"/>
    <x v="19"/>
    <x v="4"/>
    <n v="4"/>
    <n v="468.57000732421875"/>
    <n v="1490.6300048828125"/>
    <x v="1"/>
    <x v="21"/>
  </r>
  <r>
    <d v="2020-08-04T00:00:00"/>
    <x v="17"/>
    <x v="11"/>
    <x v="2"/>
    <n v="2"/>
    <n v="25.309999465942383"/>
    <n v="65.30999755859375"/>
    <x v="1"/>
    <x v="43"/>
  </r>
  <r>
    <d v="2022-02-02T00:00:00"/>
    <x v="85"/>
    <x v="24"/>
    <x v="4"/>
    <n v="2"/>
    <n v="590.96002197265625"/>
    <n v="1263.06005859375"/>
    <x v="1"/>
    <x v="18"/>
  </r>
  <r>
    <d v="2020-07-06T00:00:00"/>
    <x v="10"/>
    <x v="29"/>
    <x v="1"/>
    <n v="2"/>
    <n v="433.239990234375"/>
    <n v="932.16998291015625"/>
    <x v="1"/>
    <x v="35"/>
  </r>
  <r>
    <d v="2021-01-14T00:00:00"/>
    <x v="43"/>
    <x v="31"/>
    <x v="0"/>
    <n v="4"/>
    <n v="187.75"/>
    <n v="851.3900146484375"/>
    <x v="1"/>
    <x v="22"/>
  </r>
  <r>
    <d v="2021-05-07T00:00:00"/>
    <x v="86"/>
    <x v="41"/>
    <x v="3"/>
    <n v="5"/>
    <n v="230.99000549316406"/>
    <n v="1110.199951171875"/>
    <x v="1"/>
    <x v="31"/>
  </r>
  <r>
    <d v="2022-11-30T00:00:00"/>
    <x v="87"/>
    <x v="20"/>
    <x v="4"/>
    <n v="5"/>
    <n v="246.1300048828125"/>
    <n v="1117.280029296875"/>
    <x v="2"/>
    <x v="7"/>
  </r>
  <r>
    <d v="2023-03-26T00:00:00"/>
    <x v="28"/>
    <x v="31"/>
    <x v="1"/>
    <n v="1"/>
    <n v="18.659999847412109"/>
    <n v="24.620000839233398"/>
    <x v="1"/>
    <x v="26"/>
  </r>
  <r>
    <d v="2020-01-15T00:00:00"/>
    <x v="21"/>
    <x v="43"/>
    <x v="2"/>
    <n v="2"/>
    <n v="48.990001678466797"/>
    <n v="78.739997863769531"/>
    <x v="1"/>
    <x v="27"/>
  </r>
  <r>
    <d v="2020-03-05T00:00:00"/>
    <x v="0"/>
    <x v="19"/>
    <x v="4"/>
    <n v="5"/>
    <n v="200.05000305175781"/>
    <n v="1066.6099853515625"/>
    <x v="4"/>
    <x v="14"/>
  </r>
  <r>
    <d v="2021-06-04T00:00:00"/>
    <x v="88"/>
    <x v="20"/>
    <x v="5"/>
    <n v="4"/>
    <n v="149.47000122070313"/>
    <n v="680.1099853515625"/>
    <x v="1"/>
    <x v="56"/>
  </r>
  <r>
    <d v="2023-09-29T00:00:00"/>
    <x v="89"/>
    <x v="35"/>
    <x v="4"/>
    <n v="3"/>
    <n v="460.510009765625"/>
    <n v="1473.1099853515625"/>
    <x v="1"/>
    <x v="45"/>
  </r>
  <r>
    <d v="2023-02-26T00:00:00"/>
    <x v="14"/>
    <x v="31"/>
    <x v="1"/>
    <n v="5"/>
    <n v="141.30999755859375"/>
    <n v="687.20001220703125"/>
    <x v="1"/>
    <x v="4"/>
  </r>
  <r>
    <d v="2021-10-09T00:00:00"/>
    <x v="90"/>
    <x v="17"/>
    <x v="0"/>
    <n v="3"/>
    <n v="204.14999389648438"/>
    <n v="627.44000244140625"/>
    <x v="1"/>
    <x v="40"/>
  </r>
  <r>
    <d v="2024-02-04T00:00:00"/>
    <x v="91"/>
    <x v="27"/>
    <x v="0"/>
    <n v="4"/>
    <n v="577.3599853515625"/>
    <n v="1944.010009765625"/>
    <x v="1"/>
    <x v="20"/>
  </r>
  <r>
    <d v="2022-12-22T00:00:00"/>
    <x v="92"/>
    <x v="31"/>
    <x v="5"/>
    <n v="2"/>
    <n v="509.26998901367188"/>
    <n v="1025.25"/>
    <x v="1"/>
    <x v="5"/>
  </r>
  <r>
    <d v="2023-03-08T00:00:00"/>
    <x v="93"/>
    <x v="7"/>
    <x v="2"/>
    <n v="3"/>
    <n v="496.1199951171875"/>
    <n v="1568.68994140625"/>
    <x v="3"/>
    <x v="26"/>
  </r>
  <r>
    <d v="2024-03-02T00:00:00"/>
    <x v="29"/>
    <x v="39"/>
    <x v="2"/>
    <n v="3"/>
    <n v="497.739990234375"/>
    <n v="1679.989990234375"/>
    <x v="1"/>
    <x v="39"/>
  </r>
  <r>
    <d v="2021-08-15T00:00:00"/>
    <x v="94"/>
    <x v="43"/>
    <x v="0"/>
    <n v="4"/>
    <n v="384.80999755859375"/>
    <n v="1737.06005859375"/>
    <x v="1"/>
    <x v="42"/>
  </r>
  <r>
    <d v="2021-01-26T00:00:00"/>
    <x v="95"/>
    <x v="18"/>
    <x v="3"/>
    <n v="2"/>
    <n v="321.45999145507813"/>
    <n v="653.47998046875"/>
    <x v="0"/>
    <x v="22"/>
  </r>
  <r>
    <d v="2024-08-25T00:00:00"/>
    <x v="96"/>
    <x v="46"/>
    <x v="3"/>
    <n v="5"/>
    <n v="498.260009765625"/>
    <n v="2559.719970703125"/>
    <x v="4"/>
    <x v="16"/>
  </r>
  <r>
    <d v="2021-02-22T00:00:00"/>
    <x v="97"/>
    <x v="32"/>
    <x v="0"/>
    <n v="5"/>
    <n v="211.8800048828125"/>
    <n v="1039.489990234375"/>
    <x v="1"/>
    <x v="52"/>
  </r>
  <r>
    <d v="2020-10-15T00:00:00"/>
    <x v="98"/>
    <x v="6"/>
    <x v="2"/>
    <n v="2"/>
    <n v="333.8800048828125"/>
    <n v="644.97998046875"/>
    <x v="0"/>
    <x v="25"/>
  </r>
  <r>
    <d v="2021-01-13T00:00:00"/>
    <x v="74"/>
    <x v="27"/>
    <x v="5"/>
    <n v="2"/>
    <n v="522.6500244140625"/>
    <n v="1086.3299560546875"/>
    <x v="1"/>
    <x v="22"/>
  </r>
  <r>
    <d v="2024-12-01T00:00:00"/>
    <x v="77"/>
    <x v="33"/>
    <x v="3"/>
    <n v="4"/>
    <n v="67.779998779296875"/>
    <n v="289.33999633789063"/>
    <x v="1"/>
    <x v="34"/>
  </r>
  <r>
    <d v="2024-02-22T00:00:00"/>
    <x v="99"/>
    <x v="26"/>
    <x v="0"/>
    <n v="5"/>
    <n v="22.670000076293945"/>
    <n v="126.51000213623047"/>
    <x v="1"/>
    <x v="20"/>
  </r>
  <r>
    <d v="2020-08-18T00:00:00"/>
    <x v="100"/>
    <x v="41"/>
    <x v="1"/>
    <n v="5"/>
    <n v="544.52001953125"/>
    <n v="2289.77001953125"/>
    <x v="1"/>
    <x v="43"/>
  </r>
  <r>
    <d v="2022-10-14T00:00:00"/>
    <x v="101"/>
    <x v="10"/>
    <x v="5"/>
    <n v="1"/>
    <n v="431.010009765625"/>
    <n v="433.239990234375"/>
    <x v="1"/>
    <x v="49"/>
  </r>
  <r>
    <d v="2020-02-10T00:00:00"/>
    <x v="102"/>
    <x v="32"/>
    <x v="0"/>
    <n v="3"/>
    <n v="346.55999755859375"/>
    <n v="929.77001953125"/>
    <x v="1"/>
    <x v="47"/>
  </r>
  <r>
    <d v="2022-11-17T00:00:00"/>
    <x v="58"/>
    <x v="15"/>
    <x v="0"/>
    <n v="1"/>
    <n v="87.790000915527344"/>
    <n v="114.51000213623047"/>
    <x v="4"/>
    <x v="7"/>
  </r>
  <r>
    <d v="2020-05-14T00:00:00"/>
    <x v="103"/>
    <x v="27"/>
    <x v="1"/>
    <n v="4"/>
    <n v="596.79998779296875"/>
    <n v="2542.080078125"/>
    <x v="0"/>
    <x v="9"/>
  </r>
  <r>
    <d v="2020-07-19T00:00:00"/>
    <x v="104"/>
    <x v="27"/>
    <x v="5"/>
    <n v="1"/>
    <n v="194.16999816894531"/>
    <n v="209.21000671386719"/>
    <x v="0"/>
    <x v="35"/>
  </r>
  <r>
    <d v="2022-02-18T00:00:00"/>
    <x v="105"/>
    <x v="35"/>
    <x v="2"/>
    <n v="2"/>
    <n v="42.520000457763672"/>
    <n v="95.94000244140625"/>
    <x v="1"/>
    <x v="18"/>
  </r>
  <r>
    <d v="2022-07-18T00:00:00"/>
    <x v="106"/>
    <x v="26"/>
    <x v="3"/>
    <n v="3"/>
    <n v="262.01998901367188"/>
    <n v="795.510009765625"/>
    <x v="1"/>
    <x v="57"/>
  </r>
  <r>
    <d v="2022-11-22T00:00:00"/>
    <x v="75"/>
    <x v="29"/>
    <x v="3"/>
    <n v="3"/>
    <n v="43.799999237060547"/>
    <n v="148.13999938964844"/>
    <x v="1"/>
    <x v="7"/>
  </r>
  <r>
    <d v="2022-12-07T00:00:00"/>
    <x v="107"/>
    <x v="27"/>
    <x v="2"/>
    <n v="4"/>
    <n v="306.010009765625"/>
    <n v="908.90997314453125"/>
    <x v="4"/>
    <x v="5"/>
  </r>
  <r>
    <d v="2021-05-17T00:00:00"/>
    <x v="104"/>
    <x v="4"/>
    <x v="4"/>
    <n v="4"/>
    <n v="251.60000610351563"/>
    <n v="1028.199951171875"/>
    <x v="4"/>
    <x v="31"/>
  </r>
  <r>
    <d v="2021-02-10T00:00:00"/>
    <x v="52"/>
    <x v="18"/>
    <x v="5"/>
    <n v="3"/>
    <n v="431.79000854492188"/>
    <n v="1371.3800048828125"/>
    <x v="1"/>
    <x v="52"/>
  </r>
  <r>
    <d v="2024-05-16T00:00:00"/>
    <x v="74"/>
    <x v="5"/>
    <x v="0"/>
    <n v="4"/>
    <n v="291.1300048828125"/>
    <n v="1041.8499755859375"/>
    <x v="4"/>
    <x v="30"/>
  </r>
  <r>
    <d v="2024-10-17T00:00:00"/>
    <x v="15"/>
    <x v="14"/>
    <x v="2"/>
    <n v="3"/>
    <n v="414.45999145507813"/>
    <n v="1049.1199951171875"/>
    <x v="1"/>
    <x v="55"/>
  </r>
  <r>
    <d v="2022-03-15T00:00:00"/>
    <x v="108"/>
    <x v="39"/>
    <x v="5"/>
    <n v="3"/>
    <n v="180.8699951171875"/>
    <n v="571.780029296875"/>
    <x v="1"/>
    <x v="21"/>
  </r>
  <r>
    <d v="2020-04-08T00:00:00"/>
    <x v="78"/>
    <x v="25"/>
    <x v="4"/>
    <n v="5"/>
    <n v="104.18000030517578"/>
    <n v="477.5"/>
    <x v="4"/>
    <x v="46"/>
  </r>
  <r>
    <d v="2021-11-14T00:00:00"/>
    <x v="109"/>
    <x v="23"/>
    <x v="0"/>
    <n v="2"/>
    <n v="400.69000244140625"/>
    <n v="789.6199951171875"/>
    <x v="2"/>
    <x v="32"/>
  </r>
  <r>
    <d v="2021-12-26T00:00:00"/>
    <x v="110"/>
    <x v="40"/>
    <x v="1"/>
    <n v="3"/>
    <n v="479.989990234375"/>
    <n v="1218.27001953125"/>
    <x v="1"/>
    <x v="51"/>
  </r>
  <r>
    <d v="2024-04-19T00:00:00"/>
    <x v="17"/>
    <x v="20"/>
    <x v="4"/>
    <n v="1"/>
    <n v="247.53999328613281"/>
    <n v="265.45001220703125"/>
    <x v="1"/>
    <x v="53"/>
  </r>
  <r>
    <d v="2022-08-18T00:00:00"/>
    <x v="111"/>
    <x v="39"/>
    <x v="3"/>
    <n v="3"/>
    <n v="14.510000228881836"/>
    <n v="47.130001068115234"/>
    <x v="1"/>
    <x v="24"/>
  </r>
  <r>
    <d v="2024-10-28T00:00:00"/>
    <x v="112"/>
    <x v="12"/>
    <x v="5"/>
    <n v="5"/>
    <n v="216.33000183105469"/>
    <n v="875.04998779296875"/>
    <x v="1"/>
    <x v="55"/>
  </r>
  <r>
    <d v="2021-09-04T00:00:00"/>
    <x v="113"/>
    <x v="15"/>
    <x v="1"/>
    <n v="3"/>
    <n v="38.529998779296875"/>
    <n v="129.77000427246094"/>
    <x v="1"/>
    <x v="58"/>
  </r>
  <r>
    <d v="2024-01-25T00:00:00"/>
    <x v="35"/>
    <x v="34"/>
    <x v="5"/>
    <n v="3"/>
    <n v="465.66000366210938"/>
    <n v="1321.030029296875"/>
    <x v="1"/>
    <x v="13"/>
  </r>
  <r>
    <d v="2021-10-04T00:00:00"/>
    <x v="114"/>
    <x v="27"/>
    <x v="5"/>
    <n v="5"/>
    <n v="35.270000457763672"/>
    <n v="210.5"/>
    <x v="1"/>
    <x v="40"/>
  </r>
  <r>
    <d v="2024-11-27T00:00:00"/>
    <x v="61"/>
    <x v="47"/>
    <x v="1"/>
    <n v="2"/>
    <n v="82.5"/>
    <n v="189.35000610351563"/>
    <x v="1"/>
    <x v="50"/>
  </r>
  <r>
    <d v="2022-10-25T00:00:00"/>
    <x v="89"/>
    <x v="13"/>
    <x v="1"/>
    <n v="4"/>
    <n v="298.95999145507813"/>
    <n v="1165.989990234375"/>
    <x v="1"/>
    <x v="49"/>
  </r>
  <r>
    <d v="2023-05-26T00:00:00"/>
    <x v="115"/>
    <x v="27"/>
    <x v="3"/>
    <n v="5"/>
    <n v="232.6199951171875"/>
    <n v="1202.699951171875"/>
    <x v="1"/>
    <x v="11"/>
  </r>
  <r>
    <d v="2021-05-17T00:00:00"/>
    <x v="36"/>
    <x v="38"/>
    <x v="0"/>
    <n v="4"/>
    <n v="493.20001220703125"/>
    <n v="1771.3699951171875"/>
    <x v="2"/>
    <x v="31"/>
  </r>
  <r>
    <d v="2022-02-05T00:00:00"/>
    <x v="46"/>
    <x v="43"/>
    <x v="2"/>
    <n v="4"/>
    <n v="497.42001342773438"/>
    <n v="2129.360107421875"/>
    <x v="2"/>
    <x v="18"/>
  </r>
  <r>
    <d v="2021-02-01T00:00:00"/>
    <x v="116"/>
    <x v="31"/>
    <x v="2"/>
    <n v="1"/>
    <n v="154.24000549316406"/>
    <n v="173.97000122070313"/>
    <x v="1"/>
    <x v="52"/>
  </r>
  <r>
    <d v="2022-05-20T00:00:00"/>
    <x v="9"/>
    <x v="45"/>
    <x v="4"/>
    <n v="3"/>
    <n v="497.51998901367188"/>
    <n v="1497.949951171875"/>
    <x v="1"/>
    <x v="2"/>
  </r>
  <r>
    <d v="2022-03-05T00:00:00"/>
    <x v="27"/>
    <x v="14"/>
    <x v="0"/>
    <n v="4"/>
    <n v="64.529998779296875"/>
    <n v="271.79000854492188"/>
    <x v="1"/>
    <x v="21"/>
  </r>
  <r>
    <d v="2021-01-27T00:00:00"/>
    <x v="117"/>
    <x v="48"/>
    <x v="5"/>
    <n v="4"/>
    <n v="331.20999145507813"/>
    <n v="1396.97998046875"/>
    <x v="1"/>
    <x v="22"/>
  </r>
  <r>
    <d v="2020-07-25T00:00:00"/>
    <x v="113"/>
    <x v="27"/>
    <x v="2"/>
    <n v="4"/>
    <n v="155.8699951171875"/>
    <n v="596.97998046875"/>
    <x v="1"/>
    <x v="35"/>
  </r>
  <r>
    <d v="2022-11-04T00:00:00"/>
    <x v="80"/>
    <x v="37"/>
    <x v="2"/>
    <n v="1"/>
    <n v="598.75"/>
    <n v="569.16998291015625"/>
    <x v="4"/>
    <x v="7"/>
  </r>
  <r>
    <d v="2024-04-26T00:00:00"/>
    <x v="118"/>
    <x v="21"/>
    <x v="5"/>
    <n v="5"/>
    <n v="489.41000366210938"/>
    <n v="2610.89990234375"/>
    <x v="1"/>
    <x v="53"/>
  </r>
  <r>
    <d v="2022-06-10T00:00:00"/>
    <x v="60"/>
    <x v="24"/>
    <x v="3"/>
    <n v="4"/>
    <n v="131.22000122070313"/>
    <n v="486.510009765625"/>
    <x v="0"/>
    <x v="44"/>
  </r>
  <r>
    <d v="2024-01-24T00:00:00"/>
    <x v="41"/>
    <x v="0"/>
    <x v="3"/>
    <n v="2"/>
    <n v="176.3800048828125"/>
    <n v="372.98001098632813"/>
    <x v="1"/>
    <x v="13"/>
  </r>
  <r>
    <d v="2024-09-10T00:00:00"/>
    <x v="54"/>
    <x v="9"/>
    <x v="4"/>
    <n v="1"/>
    <n v="418.70001220703125"/>
    <n v="321.01998901367188"/>
    <x v="1"/>
    <x v="6"/>
  </r>
  <r>
    <d v="2024-05-17T00:00:00"/>
    <x v="119"/>
    <x v="17"/>
    <x v="1"/>
    <n v="2"/>
    <n v="531.4000244140625"/>
    <n v="1194.8299560546875"/>
    <x v="1"/>
    <x v="30"/>
  </r>
  <r>
    <d v="2022-05-13T00:00:00"/>
    <x v="50"/>
    <x v="31"/>
    <x v="0"/>
    <n v="5"/>
    <n v="341.70001220703125"/>
    <n v="1816.1300048828125"/>
    <x v="1"/>
    <x v="2"/>
  </r>
  <r>
    <d v="2022-01-12T00:00:00"/>
    <x v="120"/>
    <x v="34"/>
    <x v="5"/>
    <n v="2"/>
    <n v="375.82000732421875"/>
    <n v="763.30999755859375"/>
    <x v="3"/>
    <x v="29"/>
  </r>
  <r>
    <d v="2023-06-18T00:00:00"/>
    <x v="99"/>
    <x v="14"/>
    <x v="1"/>
    <n v="3"/>
    <n v="99.260002136230469"/>
    <n v="326.79000854492188"/>
    <x v="1"/>
    <x v="37"/>
  </r>
  <r>
    <d v="2021-07-17T00:00:00"/>
    <x v="121"/>
    <x v="39"/>
    <x v="1"/>
    <n v="2"/>
    <n v="572.09002685546875"/>
    <n v="1238.3499755859375"/>
    <x v="1"/>
    <x v="36"/>
  </r>
  <r>
    <d v="2022-10-17T00:00:00"/>
    <x v="44"/>
    <x v="11"/>
    <x v="3"/>
    <n v="2"/>
    <n v="495.32000732421875"/>
    <n v="1050.1800537109375"/>
    <x v="1"/>
    <x v="49"/>
  </r>
  <r>
    <d v="2020-04-05T00:00:00"/>
    <x v="21"/>
    <x v="32"/>
    <x v="4"/>
    <n v="2"/>
    <n v="190.82000732421875"/>
    <n v="328.16000366210938"/>
    <x v="2"/>
    <x v="46"/>
  </r>
  <r>
    <d v="2024-10-23T00:00:00"/>
    <x v="95"/>
    <x v="37"/>
    <x v="1"/>
    <n v="1"/>
    <n v="50.919998168945313"/>
    <n v="45.299999237060547"/>
    <x v="1"/>
    <x v="55"/>
  </r>
  <r>
    <d v="2021-04-29T00:00:00"/>
    <x v="6"/>
    <x v="16"/>
    <x v="3"/>
    <n v="5"/>
    <n v="129.25"/>
    <n v="599.489990234375"/>
    <x v="1"/>
    <x v="10"/>
  </r>
  <r>
    <d v="2023-12-01T00:00:00"/>
    <x v="122"/>
    <x v="10"/>
    <x v="4"/>
    <n v="3"/>
    <n v="416.83999633789063"/>
    <n v="1162.3800048828125"/>
    <x v="1"/>
    <x v="1"/>
  </r>
  <r>
    <d v="2020-08-18T00:00:00"/>
    <x v="88"/>
    <x v="6"/>
    <x v="4"/>
    <n v="5"/>
    <n v="319.27999877929688"/>
    <n v="1604.800048828125"/>
    <x v="1"/>
    <x v="43"/>
  </r>
  <r>
    <d v="2022-01-18T00:00:00"/>
    <x v="20"/>
    <x v="1"/>
    <x v="0"/>
    <n v="2"/>
    <n v="67.540000915527344"/>
    <n v="140.24000549316406"/>
    <x v="2"/>
    <x v="29"/>
  </r>
  <r>
    <d v="2024-08-05T00:00:00"/>
    <x v="80"/>
    <x v="30"/>
    <x v="3"/>
    <n v="2"/>
    <n v="289.23001098632813"/>
    <n v="533.69000244140625"/>
    <x v="1"/>
    <x v="16"/>
  </r>
  <r>
    <d v="2023-04-09T00:00:00"/>
    <x v="86"/>
    <x v="22"/>
    <x v="1"/>
    <n v="2"/>
    <n v="373.57998657226563"/>
    <n v="654.28997802734375"/>
    <x v="1"/>
    <x v="23"/>
  </r>
  <r>
    <d v="2021-06-24T00:00:00"/>
    <x v="123"/>
    <x v="29"/>
    <x v="4"/>
    <n v="4"/>
    <n v="359.8900146484375"/>
    <n v="1449.1099853515625"/>
    <x v="1"/>
    <x v="56"/>
  </r>
  <r>
    <d v="2022-11-25T00:00:00"/>
    <x v="124"/>
    <x v="39"/>
    <x v="3"/>
    <n v="5"/>
    <n v="449.10000610351563"/>
    <n v="2129.47998046875"/>
    <x v="1"/>
    <x v="7"/>
  </r>
  <r>
    <d v="2021-06-08T00:00:00"/>
    <x v="32"/>
    <x v="27"/>
    <x v="5"/>
    <n v="3"/>
    <n v="270.41000366210938"/>
    <n v="770.530029296875"/>
    <x v="1"/>
    <x v="56"/>
  </r>
  <r>
    <d v="2023-03-29T00:00:00"/>
    <x v="28"/>
    <x v="22"/>
    <x v="1"/>
    <n v="2"/>
    <n v="387.30999755859375"/>
    <n v="874.69000244140625"/>
    <x v="1"/>
    <x v="26"/>
  </r>
  <r>
    <d v="2024-09-18T00:00:00"/>
    <x v="125"/>
    <x v="42"/>
    <x v="0"/>
    <n v="3"/>
    <n v="272.1400146484375"/>
    <n v="925.54998779296875"/>
    <x v="2"/>
    <x v="6"/>
  </r>
  <r>
    <d v="2023-06-20T00:00:00"/>
    <x v="52"/>
    <x v="44"/>
    <x v="1"/>
    <n v="1"/>
    <n v="420.6199951171875"/>
    <n v="447.33999633789063"/>
    <x v="1"/>
    <x v="37"/>
  </r>
  <r>
    <d v="2023-01-14T00:00:00"/>
    <x v="16"/>
    <x v="8"/>
    <x v="2"/>
    <n v="4"/>
    <n v="575.92999267578125"/>
    <n v="2318.219970703125"/>
    <x v="0"/>
    <x v="0"/>
  </r>
  <r>
    <d v="2024-12-24T00:00:00"/>
    <x v="126"/>
    <x v="22"/>
    <x v="3"/>
    <n v="5"/>
    <n v="167.97000122070313"/>
    <n v="848.20001220703125"/>
    <x v="1"/>
    <x v="34"/>
  </r>
  <r>
    <d v="2021-07-31T00:00:00"/>
    <x v="5"/>
    <x v="20"/>
    <x v="3"/>
    <n v="5"/>
    <n v="471.1400146484375"/>
    <n v="2548.340087890625"/>
    <x v="2"/>
    <x v="36"/>
  </r>
  <r>
    <d v="2021-11-12T00:00:00"/>
    <x v="31"/>
    <x v="3"/>
    <x v="3"/>
    <n v="3"/>
    <n v="461.70001220703125"/>
    <n v="1395.2099609375"/>
    <x v="0"/>
    <x v="32"/>
  </r>
  <r>
    <d v="2021-07-10T00:00:00"/>
    <x v="11"/>
    <x v="21"/>
    <x v="4"/>
    <n v="2"/>
    <n v="303.76998901367188"/>
    <n v="489.89999389648438"/>
    <x v="3"/>
    <x v="36"/>
  </r>
  <r>
    <d v="2024-05-16T00:00:00"/>
    <x v="44"/>
    <x v="41"/>
    <x v="5"/>
    <n v="4"/>
    <n v="312.3599853515625"/>
    <n v="1127.02001953125"/>
    <x v="1"/>
    <x v="30"/>
  </r>
  <r>
    <d v="2022-10-09T00:00:00"/>
    <x v="22"/>
    <x v="10"/>
    <x v="0"/>
    <n v="3"/>
    <n v="59.090000152587891"/>
    <n v="164.80000305175781"/>
    <x v="0"/>
    <x v="49"/>
  </r>
  <r>
    <d v="2021-10-07T00:00:00"/>
    <x v="127"/>
    <x v="28"/>
    <x v="0"/>
    <n v="1"/>
    <n v="266.91000366210938"/>
    <n v="281.17999267578125"/>
    <x v="0"/>
    <x v="40"/>
  </r>
  <r>
    <d v="2022-03-06T00:00:00"/>
    <x v="85"/>
    <x v="8"/>
    <x v="5"/>
    <n v="3"/>
    <n v="568.010009765625"/>
    <n v="1716.969970703125"/>
    <x v="4"/>
    <x v="21"/>
  </r>
  <r>
    <d v="2022-11-17T00:00:00"/>
    <x v="30"/>
    <x v="32"/>
    <x v="0"/>
    <n v="2"/>
    <n v="454.72000122070313"/>
    <n v="933.4000244140625"/>
    <x v="0"/>
    <x v="7"/>
  </r>
  <r>
    <d v="2024-07-01T00:00:00"/>
    <x v="66"/>
    <x v="13"/>
    <x v="0"/>
    <n v="3"/>
    <n v="189.1199951171875"/>
    <n v="493.79998779296875"/>
    <x v="4"/>
    <x v="59"/>
  </r>
  <r>
    <d v="2024-04-28T00:00:00"/>
    <x v="38"/>
    <x v="26"/>
    <x v="1"/>
    <n v="5"/>
    <n v="104.68000030517578"/>
    <n v="482.8599853515625"/>
    <x v="1"/>
    <x v="53"/>
  </r>
  <r>
    <d v="2023-09-25T00:00:00"/>
    <x v="91"/>
    <x v="32"/>
    <x v="4"/>
    <n v="2"/>
    <n v="116.02999877929688"/>
    <n v="206.03999328613281"/>
    <x v="0"/>
    <x v="45"/>
  </r>
  <r>
    <d v="2024-12-26T00:00:00"/>
    <x v="15"/>
    <x v="41"/>
    <x v="2"/>
    <n v="3"/>
    <n v="83.30999755859375"/>
    <n v="273.39999389648438"/>
    <x v="1"/>
    <x v="34"/>
  </r>
  <r>
    <d v="2023-09-16T00:00:00"/>
    <x v="128"/>
    <x v="49"/>
    <x v="5"/>
    <n v="3"/>
    <n v="556.67999267578125"/>
    <n v="1754.5999755859375"/>
    <x v="2"/>
    <x v="45"/>
  </r>
  <r>
    <d v="2024-07-21T00:00:00"/>
    <x v="125"/>
    <x v="34"/>
    <x v="1"/>
    <n v="3"/>
    <n v="404.760009765625"/>
    <n v="1443.3499755859375"/>
    <x v="1"/>
    <x v="59"/>
  </r>
  <r>
    <d v="2024-03-09T00:00:00"/>
    <x v="129"/>
    <x v="33"/>
    <x v="3"/>
    <n v="5"/>
    <n v="470.82000732421875"/>
    <n v="2300.580078125"/>
    <x v="1"/>
    <x v="39"/>
  </r>
  <r>
    <d v="2023-10-03T00:00:00"/>
    <x v="37"/>
    <x v="18"/>
    <x v="1"/>
    <n v="5"/>
    <n v="88.239997863769531"/>
    <n v="489.94000244140625"/>
    <x v="0"/>
    <x v="15"/>
  </r>
  <r>
    <d v="2024-02-05T00:00:00"/>
    <x v="130"/>
    <x v="19"/>
    <x v="1"/>
    <n v="3"/>
    <n v="410.89999389648438"/>
    <n v="1331.8900146484375"/>
    <x v="0"/>
    <x v="20"/>
  </r>
  <r>
    <d v="2023-06-08T00:00:00"/>
    <x v="131"/>
    <x v="14"/>
    <x v="2"/>
    <n v="4"/>
    <n v="485.32000732421875"/>
    <n v="1790.43994140625"/>
    <x v="1"/>
    <x v="37"/>
  </r>
  <r>
    <d v="2020-07-08T00:00:00"/>
    <x v="13"/>
    <x v="7"/>
    <x v="2"/>
    <n v="1"/>
    <n v="49.310001373291016"/>
    <n v="52.470001220703125"/>
    <x v="1"/>
    <x v="35"/>
  </r>
  <r>
    <d v="2023-06-02T00:00:00"/>
    <x v="106"/>
    <x v="41"/>
    <x v="4"/>
    <n v="4"/>
    <n v="389.67001342773438"/>
    <n v="1602.5"/>
    <x v="1"/>
    <x v="37"/>
  </r>
  <r>
    <d v="2023-11-09T00:00:00"/>
    <x v="132"/>
    <x v="36"/>
    <x v="1"/>
    <n v="1"/>
    <n v="450.04998779296875"/>
    <n v="473.75"/>
    <x v="1"/>
    <x v="48"/>
  </r>
  <r>
    <d v="2023-11-01T00:00:00"/>
    <x v="39"/>
    <x v="12"/>
    <x v="1"/>
    <n v="3"/>
    <n v="137.33000183105469"/>
    <n v="414.010009765625"/>
    <x v="0"/>
    <x v="48"/>
  </r>
  <r>
    <d v="2023-07-30T00:00:00"/>
    <x v="116"/>
    <x v="42"/>
    <x v="1"/>
    <n v="2"/>
    <n v="114.61000061035156"/>
    <n v="248.47000122070313"/>
    <x v="1"/>
    <x v="3"/>
  </r>
  <r>
    <d v="2021-09-24T00:00:00"/>
    <x v="22"/>
    <x v="39"/>
    <x v="5"/>
    <n v="5"/>
    <n v="303.23001098632813"/>
    <n v="1707.6700439453125"/>
    <x v="1"/>
    <x v="58"/>
  </r>
  <r>
    <d v="2021-09-19T00:00:00"/>
    <x v="133"/>
    <x v="5"/>
    <x v="3"/>
    <n v="4"/>
    <n v="377.76998901367188"/>
    <n v="1534.52001953125"/>
    <x v="1"/>
    <x v="58"/>
  </r>
  <r>
    <d v="2022-08-30T00:00:00"/>
    <x v="13"/>
    <x v="48"/>
    <x v="5"/>
    <n v="5"/>
    <n v="165.72000122070313"/>
    <n v="854.5999755859375"/>
    <x v="0"/>
    <x v="24"/>
  </r>
  <r>
    <d v="2024-11-03T00:00:00"/>
    <x v="5"/>
    <x v="42"/>
    <x v="5"/>
    <n v="5"/>
    <n v="404.32998657226563"/>
    <n v="2188.1298828125"/>
    <x v="4"/>
    <x v="50"/>
  </r>
  <r>
    <d v="2023-07-06T00:00:00"/>
    <x v="101"/>
    <x v="16"/>
    <x v="3"/>
    <n v="5"/>
    <n v="493.80999755859375"/>
    <n v="1881.300048828125"/>
    <x v="1"/>
    <x v="3"/>
  </r>
  <r>
    <d v="2023-10-14T00:00:00"/>
    <x v="108"/>
    <x v="17"/>
    <x v="1"/>
    <n v="1"/>
    <n v="590.16998291015625"/>
    <n v="530.510009765625"/>
    <x v="1"/>
    <x v="15"/>
  </r>
  <r>
    <d v="2021-12-10T00:00:00"/>
    <x v="134"/>
    <x v="39"/>
    <x v="3"/>
    <n v="2"/>
    <n v="426.66000366210938"/>
    <n v="824.03997802734375"/>
    <x v="1"/>
    <x v="51"/>
  </r>
  <r>
    <d v="2024-01-19T00:00:00"/>
    <x v="135"/>
    <x v="33"/>
    <x v="1"/>
    <n v="3"/>
    <n v="512.1300048828125"/>
    <n v="1674.22998046875"/>
    <x v="1"/>
    <x v="13"/>
  </r>
  <r>
    <d v="2023-12-05T00:00:00"/>
    <x v="17"/>
    <x v="30"/>
    <x v="3"/>
    <n v="4"/>
    <n v="139.58999633789063"/>
    <n v="557.3599853515625"/>
    <x v="1"/>
    <x v="1"/>
  </r>
  <r>
    <d v="2021-10-10T00:00:00"/>
    <x v="59"/>
    <x v="44"/>
    <x v="2"/>
    <n v="2"/>
    <n v="130.46000671386719"/>
    <n v="254"/>
    <x v="1"/>
    <x v="40"/>
  </r>
  <r>
    <d v="2020-11-13T00:00:00"/>
    <x v="55"/>
    <x v="6"/>
    <x v="5"/>
    <n v="5"/>
    <n v="574.239990234375"/>
    <n v="3027.85009765625"/>
    <x v="1"/>
    <x v="12"/>
  </r>
  <r>
    <d v="2024-08-27T00:00:00"/>
    <x v="39"/>
    <x v="25"/>
    <x v="2"/>
    <n v="1"/>
    <n v="432.72000122070313"/>
    <n v="423.33999633789063"/>
    <x v="0"/>
    <x v="16"/>
  </r>
  <r>
    <d v="2023-06-02T00:00:00"/>
    <x v="59"/>
    <x v="19"/>
    <x v="5"/>
    <n v="5"/>
    <n v="73.550003051757813"/>
    <n v="321.6199951171875"/>
    <x v="1"/>
    <x v="37"/>
  </r>
  <r>
    <d v="2023-06-11T00:00:00"/>
    <x v="16"/>
    <x v="28"/>
    <x v="5"/>
    <n v="1"/>
    <n v="257.510009765625"/>
    <n v="278.73001098632813"/>
    <x v="1"/>
    <x v="37"/>
  </r>
  <r>
    <d v="2021-11-14T00:00:00"/>
    <x v="136"/>
    <x v="31"/>
    <x v="2"/>
    <n v="5"/>
    <n v="338.760009765625"/>
    <n v="1814.6600341796875"/>
    <x v="0"/>
    <x v="32"/>
  </r>
  <r>
    <d v="2021-10-25T00:00:00"/>
    <x v="131"/>
    <x v="13"/>
    <x v="5"/>
    <n v="2"/>
    <n v="139.97000122070313"/>
    <n v="317.239990234375"/>
    <x v="3"/>
    <x v="40"/>
  </r>
  <r>
    <d v="2023-10-29T00:00:00"/>
    <x v="137"/>
    <x v="7"/>
    <x v="5"/>
    <n v="4"/>
    <n v="202.97999572753906"/>
    <n v="789.280029296875"/>
    <x v="2"/>
    <x v="15"/>
  </r>
  <r>
    <d v="2024-08-22T00:00:00"/>
    <x v="129"/>
    <x v="1"/>
    <x v="1"/>
    <n v="4"/>
    <n v="319.1099853515625"/>
    <n v="1344.4100341796875"/>
    <x v="1"/>
    <x v="16"/>
  </r>
  <r>
    <d v="2024-06-19T00:00:00"/>
    <x v="56"/>
    <x v="0"/>
    <x v="1"/>
    <n v="1"/>
    <n v="370.47000122070313"/>
    <n v="353.57998657226563"/>
    <x v="1"/>
    <x v="8"/>
  </r>
  <r>
    <d v="2024-02-04T00:00:00"/>
    <x v="66"/>
    <x v="37"/>
    <x v="2"/>
    <n v="5"/>
    <n v="45.490001678466797"/>
    <n v="214.72999572753906"/>
    <x v="0"/>
    <x v="20"/>
  </r>
  <r>
    <d v="2023-06-10T00:00:00"/>
    <x v="52"/>
    <x v="0"/>
    <x v="2"/>
    <n v="3"/>
    <n v="116.12000274658203"/>
    <n v="416.510009765625"/>
    <x v="0"/>
    <x v="37"/>
  </r>
  <r>
    <d v="2024-09-11T00:00:00"/>
    <x v="64"/>
    <x v="46"/>
    <x v="5"/>
    <n v="3"/>
    <n v="297.8599853515625"/>
    <n v="807.780029296875"/>
    <x v="1"/>
    <x v="6"/>
  </r>
  <r>
    <d v="2023-02-10T00:00:00"/>
    <x v="138"/>
    <x v="0"/>
    <x v="3"/>
    <n v="5"/>
    <n v="89.260002136230469"/>
    <n v="484.92001342773438"/>
    <x v="1"/>
    <x v="4"/>
  </r>
  <r>
    <d v="2024-02-29T00:00:00"/>
    <x v="139"/>
    <x v="38"/>
    <x v="5"/>
    <n v="4"/>
    <n v="73.540000915527344"/>
    <n v="265.3900146484375"/>
    <x v="1"/>
    <x v="20"/>
  </r>
  <r>
    <d v="2021-03-17T00:00:00"/>
    <x v="72"/>
    <x v="21"/>
    <x v="1"/>
    <n v="4"/>
    <n v="214.41999816894531"/>
    <n v="969.90997314453125"/>
    <x v="1"/>
    <x v="5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s v="Vihaan Sharma"/>
    <x v="0"/>
    <s v="Books"/>
    <n v="3"/>
    <n v="106.58999633789063"/>
    <n v="319.8599853515625"/>
    <x v="0"/>
  </r>
  <r>
    <x v="1"/>
    <s v="Pooja Kumar"/>
    <x v="1"/>
    <s v="Home &amp; Kitchen"/>
    <n v="1"/>
    <n v="251.3699951171875"/>
    <n v="259.6400146484375"/>
    <x v="1"/>
  </r>
  <r>
    <x v="2"/>
    <s v="Sneha Singh"/>
    <x v="2"/>
    <s v="Clothing"/>
    <n v="3"/>
    <n v="35.029998779296875"/>
    <n v="108.05999755859375"/>
    <x v="1"/>
  </r>
  <r>
    <x v="3"/>
    <s v="Vihaan Reddy"/>
    <x v="3"/>
    <s v="Home &amp; Kitchen"/>
    <n v="5"/>
    <n v="33.580001831054688"/>
    <n v="159.66000366210938"/>
    <x v="0"/>
  </r>
  <r>
    <x v="4"/>
    <s v="Aditya Kapoor"/>
    <x v="4"/>
    <s v="Clothing"/>
    <n v="2"/>
    <n v="515.6400146484375"/>
    <n v="821.3599853515625"/>
    <x v="2"/>
  </r>
  <r>
    <x v="5"/>
    <s v="Karan Sharma"/>
    <x v="5"/>
    <s v="Books"/>
    <n v="4"/>
    <n v="449.73001098632813"/>
    <n v="2017.530029296875"/>
    <x v="1"/>
  </r>
  <r>
    <x v="6"/>
    <s v="Aarav Verma"/>
    <x v="6"/>
    <s v="Clothing"/>
    <n v="2"/>
    <n v="219.80999755859375"/>
    <n v="394.80999755859375"/>
    <x v="3"/>
  </r>
  <r>
    <x v="7"/>
    <s v="Rohit Kumar"/>
    <x v="7"/>
    <s v="Toys &amp; Games"/>
    <n v="2"/>
    <n v="306.510009765625"/>
    <n v="617.72998046875"/>
    <x v="0"/>
  </r>
  <r>
    <x v="8"/>
    <s v="Aman Kapoor"/>
    <x v="8"/>
    <s v="Sports &amp; Outdoors"/>
    <n v="4"/>
    <n v="146.08999633789063"/>
    <n v="638.1400146484375"/>
    <x v="1"/>
  </r>
  <r>
    <x v="9"/>
    <s v="Aarav Reddy"/>
    <x v="9"/>
    <s v="Clothing"/>
    <n v="2"/>
    <n v="278.20999145507813"/>
    <n v="565.75"/>
    <x v="1"/>
  </r>
  <r>
    <x v="10"/>
    <s v="Rohit Reddy"/>
    <x v="10"/>
    <s v="Books"/>
    <n v="1"/>
    <n v="141.41999816894531"/>
    <n v="150.77000427246094"/>
    <x v="3"/>
  </r>
  <r>
    <x v="11"/>
    <s v="Karan Kumar"/>
    <x v="11"/>
    <s v="Home &amp; Kitchen"/>
    <n v="5"/>
    <n v="346.55999755859375"/>
    <n v="1791.22998046875"/>
    <x v="3"/>
  </r>
  <r>
    <x v="12"/>
    <s v="Simran Kapoor"/>
    <x v="12"/>
    <s v="Home &amp; Kitchen"/>
    <n v="4"/>
    <n v="496.760009765625"/>
    <n v="1986.5"/>
    <x v="1"/>
  </r>
  <r>
    <x v="13"/>
    <s v="Pooja Sharma"/>
    <x v="1"/>
    <s v="Home &amp; Kitchen"/>
    <n v="3"/>
    <n v="523.27001953125"/>
    <n v="1766.22998046875"/>
    <x v="1"/>
  </r>
  <r>
    <x v="14"/>
    <s v="Mohit Mehta"/>
    <x v="13"/>
    <s v="Books"/>
    <n v="4"/>
    <n v="291.3699951171875"/>
    <n v="1103.1400146484375"/>
    <x v="1"/>
  </r>
  <r>
    <x v="15"/>
    <s v="Anjali Gupta"/>
    <x v="7"/>
    <s v="Sports &amp; Outdoors"/>
    <n v="4"/>
    <n v="533.1199951171875"/>
    <n v="1681.9100341796875"/>
    <x v="1"/>
  </r>
  <r>
    <x v="16"/>
    <s v="Arjun Kumar"/>
    <x v="14"/>
    <s v="Home &amp; Kitchen"/>
    <n v="4"/>
    <n v="453.47000122070313"/>
    <n v="1636.8800048828125"/>
    <x v="1"/>
  </r>
  <r>
    <x v="17"/>
    <s v="Anjali Verma"/>
    <x v="15"/>
    <s v="Toys &amp; Games"/>
    <n v="5"/>
    <n v="547.58001708984375"/>
    <n v="2747.9599609375"/>
    <x v="1"/>
  </r>
  <r>
    <x v="18"/>
    <s v="Aditya Mehta"/>
    <x v="16"/>
    <s v="Electronics"/>
    <n v="5"/>
    <n v="529.19000244140625"/>
    <n v="2968.030029296875"/>
    <x v="1"/>
  </r>
  <r>
    <x v="19"/>
    <s v="Vihaan Patel"/>
    <x v="1"/>
    <s v="Sports &amp; Outdoors"/>
    <n v="3"/>
    <n v="303.52999877929688"/>
    <n v="987.6199951171875"/>
    <x v="1"/>
  </r>
  <r>
    <x v="20"/>
    <s v="Vikas Kapoor"/>
    <x v="7"/>
    <s v="Toys &amp; Games"/>
    <n v="1"/>
    <n v="226.25999450683594"/>
    <n v="247.1199951171875"/>
    <x v="1"/>
  </r>
  <r>
    <x v="21"/>
    <s v="Pooja Sharma"/>
    <x v="17"/>
    <s v="Books"/>
    <n v="4"/>
    <n v="493.47000122070313"/>
    <n v="2084.3701171875"/>
    <x v="3"/>
  </r>
  <r>
    <x v="22"/>
    <s v="Simran Reddy"/>
    <x v="18"/>
    <s v="Toys &amp; Games"/>
    <n v="5"/>
    <n v="452.1199951171875"/>
    <n v="2383.25"/>
    <x v="2"/>
  </r>
  <r>
    <x v="23"/>
    <s v="Vihaan Mehta"/>
    <x v="19"/>
    <s v="Electronics"/>
    <n v="3"/>
    <n v="107.94999694824219"/>
    <n v="299.760009765625"/>
    <x v="1"/>
  </r>
  <r>
    <x v="24"/>
    <s v="Aditya Reddy"/>
    <x v="20"/>
    <s v="Toys &amp; Games"/>
    <n v="1"/>
    <n v="16.680000305175781"/>
    <n v="17.700000762939453"/>
    <x v="1"/>
  </r>
  <r>
    <x v="25"/>
    <s v="Priya Kapoor"/>
    <x v="6"/>
    <s v="Clothing"/>
    <n v="4"/>
    <n v="380.23001098632813"/>
    <n v="1286.8599853515625"/>
    <x v="2"/>
  </r>
  <r>
    <x v="26"/>
    <s v="Vikas Kapoor"/>
    <x v="21"/>
    <s v="Toys &amp; Games"/>
    <n v="3"/>
    <n v="569.69000244140625"/>
    <n v="1449.8900146484375"/>
    <x v="1"/>
  </r>
  <r>
    <x v="27"/>
    <s v="Rohit Verma"/>
    <x v="22"/>
    <s v="Books"/>
    <n v="3"/>
    <n v="138.33000183105469"/>
    <n v="468.16000366210938"/>
    <x v="4"/>
  </r>
  <r>
    <x v="28"/>
    <s v="Vivaan Kumar"/>
    <x v="21"/>
    <s v="Electronics"/>
    <n v="3"/>
    <n v="381.45001220703125"/>
    <n v="1359.3199462890625"/>
    <x v="1"/>
  </r>
  <r>
    <x v="29"/>
    <s v="Priya Verma"/>
    <x v="23"/>
    <s v="Toys &amp; Games"/>
    <n v="5"/>
    <n v="199.99000549316406"/>
    <n v="1185.1300048828125"/>
    <x v="1"/>
  </r>
  <r>
    <x v="30"/>
    <s v="Sneha Verma"/>
    <x v="10"/>
    <s v="Books"/>
    <n v="2"/>
    <n v="269.79998779296875"/>
    <n v="638.219970703125"/>
    <x v="4"/>
  </r>
  <r>
    <x v="31"/>
    <s v="Sunita Gupta"/>
    <x v="24"/>
    <s v="Sports &amp; Outdoors"/>
    <n v="4"/>
    <n v="126.5"/>
    <n v="485.17999267578125"/>
    <x v="0"/>
  </r>
  <r>
    <x v="32"/>
    <s v="Simran Patel"/>
    <x v="25"/>
    <s v="Electronics"/>
    <n v="2"/>
    <n v="151.94999694824219"/>
    <n v="306.6400146484375"/>
    <x v="1"/>
  </r>
  <r>
    <x v="33"/>
    <s v="Mohit Patel"/>
    <x v="10"/>
    <s v="Clothing"/>
    <n v="1"/>
    <n v="218.74000549316406"/>
    <n v="241.89999389648438"/>
    <x v="1"/>
  </r>
  <r>
    <x v="34"/>
    <s v="Vikas Kumar"/>
    <x v="19"/>
    <s v="Sports &amp; Outdoors"/>
    <n v="5"/>
    <n v="294.79998779296875"/>
    <n v="1489.8699951171875"/>
    <x v="1"/>
  </r>
  <r>
    <x v="35"/>
    <s v="Pooja Verma"/>
    <x v="16"/>
    <s v="Books"/>
    <n v="1"/>
    <n v="357.760009765625"/>
    <n v="275.07998657226563"/>
    <x v="4"/>
  </r>
  <r>
    <x v="36"/>
    <s v="Kabir Singh"/>
    <x v="26"/>
    <s v="Electronics"/>
    <n v="5"/>
    <n v="448.8900146484375"/>
    <n v="2427.31005859375"/>
    <x v="1"/>
  </r>
  <r>
    <x v="37"/>
    <s v="Sahil Kumar"/>
    <x v="27"/>
    <s v="Electronics"/>
    <n v="4"/>
    <n v="300.8900146484375"/>
    <n v="1348.4200439453125"/>
    <x v="1"/>
  </r>
  <r>
    <x v="38"/>
    <s v="Mohit Joshi"/>
    <x v="1"/>
    <s v="Home &amp; Kitchen"/>
    <n v="5"/>
    <n v="512.8800048828125"/>
    <n v="2030.800048828125"/>
    <x v="4"/>
  </r>
  <r>
    <x v="39"/>
    <s v="Sunita Gupta"/>
    <x v="17"/>
    <s v="Books"/>
    <n v="2"/>
    <n v="81.819999694824219"/>
    <n v="159.11000061035156"/>
    <x v="1"/>
  </r>
  <r>
    <x v="40"/>
    <s v="Sahil Kumar"/>
    <x v="13"/>
    <s v="Sports &amp; Outdoors"/>
    <n v="3"/>
    <n v="215.89999389648438"/>
    <n v="733.8699951171875"/>
    <x v="1"/>
  </r>
  <r>
    <x v="41"/>
    <s v="Anjali Sharma"/>
    <x v="28"/>
    <s v="Books"/>
    <n v="5"/>
    <n v="574.280029296875"/>
    <n v="2715.699951171875"/>
    <x v="1"/>
  </r>
  <r>
    <x v="42"/>
    <s v="Sneha Sharma"/>
    <x v="8"/>
    <s v="Home &amp; Kitchen"/>
    <n v="4"/>
    <n v="109.58999633789063"/>
    <n v="481.01998901367188"/>
    <x v="0"/>
  </r>
  <r>
    <x v="43"/>
    <s v="Anjali Mehta"/>
    <x v="14"/>
    <s v="Toys &amp; Games"/>
    <n v="3"/>
    <n v="88.459999084472656"/>
    <n v="268.89999389648438"/>
    <x v="1"/>
  </r>
  <r>
    <x v="44"/>
    <s v="Pooja Verma"/>
    <x v="13"/>
    <s v="Electronics"/>
    <n v="4"/>
    <n v="395.6400146484375"/>
    <n v="1627.5899658203125"/>
    <x v="1"/>
  </r>
  <r>
    <x v="45"/>
    <s v="Rohit Kapoor"/>
    <x v="29"/>
    <s v="Toys &amp; Games"/>
    <n v="2"/>
    <n v="449.1400146484375"/>
    <n v="858.989990234375"/>
    <x v="1"/>
  </r>
  <r>
    <x v="46"/>
    <s v="Anjali Kumar"/>
    <x v="15"/>
    <s v="Electronics"/>
    <n v="4"/>
    <n v="121.44999694824219"/>
    <n v="489.54998779296875"/>
    <x v="1"/>
  </r>
  <r>
    <x v="47"/>
    <s v="Neha Mehta"/>
    <x v="6"/>
    <s v="Toys &amp; Games"/>
    <n v="2"/>
    <n v="140.88999938964844"/>
    <n v="289.58999633789063"/>
    <x v="3"/>
  </r>
  <r>
    <x v="48"/>
    <s v="Simran Singh"/>
    <x v="0"/>
    <s v="Books"/>
    <n v="3"/>
    <n v="249.83999633789063"/>
    <n v="650.8499755859375"/>
    <x v="3"/>
  </r>
  <r>
    <x v="49"/>
    <s v="Pooja Singh"/>
    <x v="30"/>
    <s v="Books"/>
    <n v="3"/>
    <n v="482.3699951171875"/>
    <n v="1300.27001953125"/>
    <x v="0"/>
  </r>
  <r>
    <x v="48"/>
    <s v="Sneha Reddy"/>
    <x v="25"/>
    <s v="Books"/>
    <n v="3"/>
    <n v="244.83000183105469"/>
    <n v="558.94000244140625"/>
    <x v="3"/>
  </r>
  <r>
    <x v="50"/>
    <s v="Sahil Gupta"/>
    <x v="15"/>
    <s v="Electronics"/>
    <n v="4"/>
    <n v="353.85000610351563"/>
    <n v="1417.949951171875"/>
    <x v="1"/>
  </r>
  <r>
    <x v="51"/>
    <s v="Ritika Mehta"/>
    <x v="31"/>
    <s v="Electronics"/>
    <n v="3"/>
    <n v="324.760009765625"/>
    <n v="716.8499755859375"/>
    <x v="1"/>
  </r>
  <r>
    <x v="52"/>
    <s v="Ritika Mehta"/>
    <x v="32"/>
    <s v="Sports &amp; Outdoors"/>
    <n v="1"/>
    <n v="491.77999877929688"/>
    <n v="500.85000610351563"/>
    <x v="0"/>
  </r>
  <r>
    <x v="53"/>
    <s v="Vikas Kumar"/>
    <x v="2"/>
    <s v="Electronics"/>
    <n v="4"/>
    <n v="549.219970703125"/>
    <n v="2199.610107421875"/>
    <x v="1"/>
  </r>
  <r>
    <x v="54"/>
    <s v="Arjun Reddy"/>
    <x v="2"/>
    <s v="Home &amp; Kitchen"/>
    <n v="4"/>
    <n v="364.07998657226563"/>
    <n v="1236.260009765625"/>
    <x v="1"/>
  </r>
  <r>
    <x v="55"/>
    <s v="Neha Verma"/>
    <x v="28"/>
    <s v="Sports &amp; Outdoors"/>
    <n v="2"/>
    <n v="509.58999633789063"/>
    <n v="1206.4200439453125"/>
    <x v="1"/>
  </r>
  <r>
    <x v="56"/>
    <s v="Vivaan Verma"/>
    <x v="33"/>
    <s v="Clothing"/>
    <n v="5"/>
    <n v="182.55000305175781"/>
    <n v="970.469970703125"/>
    <x v="2"/>
  </r>
  <r>
    <x v="57"/>
    <s v="Arjun Singh"/>
    <x v="34"/>
    <s v="Toys &amp; Games"/>
    <n v="3"/>
    <n v="184.69999694824219"/>
    <n v="442.3900146484375"/>
    <x v="1"/>
  </r>
  <r>
    <x v="58"/>
    <s v="Karan Kapoor"/>
    <x v="35"/>
    <s v="Electronics"/>
    <n v="2"/>
    <n v="439.79998779296875"/>
    <n v="931.1300048828125"/>
    <x v="0"/>
  </r>
  <r>
    <x v="59"/>
    <s v="Aditya Mehta"/>
    <x v="36"/>
    <s v="Books"/>
    <n v="4"/>
    <n v="593.02001953125"/>
    <n v="2668.2900390625"/>
    <x v="0"/>
  </r>
  <r>
    <x v="60"/>
    <s v="Sunita Kapoor"/>
    <x v="14"/>
    <s v="Home &amp; Kitchen"/>
    <n v="3"/>
    <n v="131.36000061035156"/>
    <n v="472.260009765625"/>
    <x v="2"/>
  </r>
  <r>
    <x v="61"/>
    <s v="Simran Reddy"/>
    <x v="37"/>
    <s v="Toys &amp; Games"/>
    <n v="3"/>
    <n v="71.260002136230469"/>
    <n v="226.77000427246094"/>
    <x v="1"/>
  </r>
  <r>
    <x v="62"/>
    <s v="Pooja Reddy"/>
    <x v="36"/>
    <s v="Books"/>
    <n v="5"/>
    <n v="107.11000061035156"/>
    <n v="547.1300048828125"/>
    <x v="1"/>
  </r>
  <r>
    <x v="63"/>
    <s v="Aarav Verma"/>
    <x v="15"/>
    <s v="Toys &amp; Games"/>
    <n v="5"/>
    <n v="417.27999877929688"/>
    <n v="1871.760009765625"/>
    <x v="0"/>
  </r>
  <r>
    <x v="64"/>
    <s v="Sahil Gupta"/>
    <x v="36"/>
    <s v="Books"/>
    <n v="2"/>
    <n v="559.030029296875"/>
    <n v="1068.1800537109375"/>
    <x v="1"/>
  </r>
  <r>
    <x v="65"/>
    <s v="Anjali Verma"/>
    <x v="10"/>
    <s v="Home &amp; Kitchen"/>
    <n v="4"/>
    <n v="203.83999633789063"/>
    <n v="784.19000244140625"/>
    <x v="0"/>
  </r>
  <r>
    <x v="66"/>
    <s v="Priya Mehta"/>
    <x v="20"/>
    <s v="Clothing"/>
    <n v="4"/>
    <n v="129.89999389648438"/>
    <n v="561.97998046875"/>
    <x v="1"/>
  </r>
  <r>
    <x v="67"/>
    <s v="Mohit Joshi"/>
    <x v="31"/>
    <s v="Books"/>
    <n v="5"/>
    <n v="105.16000366210938"/>
    <n v="565.3800048828125"/>
    <x v="1"/>
  </r>
  <r>
    <x v="68"/>
    <s v="Aarav Gupta"/>
    <x v="3"/>
    <s v="Electronics"/>
    <n v="1"/>
    <n v="82.790000915527344"/>
    <n v="98.169998168945313"/>
    <x v="1"/>
  </r>
  <r>
    <x v="69"/>
    <s v="Aman Singh"/>
    <x v="28"/>
    <s v="Sports &amp; Outdoors"/>
    <n v="4"/>
    <n v="433.70001220703125"/>
    <n v="1662.1099853515625"/>
    <x v="1"/>
  </r>
  <r>
    <x v="70"/>
    <s v="Aman Verma"/>
    <x v="38"/>
    <s v="Home &amp; Kitchen"/>
    <n v="3"/>
    <n v="137.10000610351563"/>
    <n v="457.07998657226563"/>
    <x v="1"/>
  </r>
  <r>
    <x v="71"/>
    <s v="Priya Reddy"/>
    <x v="35"/>
    <s v="Toys &amp; Games"/>
    <n v="5"/>
    <n v="582.65997314453125"/>
    <n v="3160.429931640625"/>
    <x v="1"/>
  </r>
  <r>
    <x v="72"/>
    <s v="Kabir Kumar"/>
    <x v="15"/>
    <s v="Home &amp; Kitchen"/>
    <n v="2"/>
    <n v="522.55999755859375"/>
    <n v="1129.1600341796875"/>
    <x v="1"/>
  </r>
  <r>
    <x v="73"/>
    <s v="Arjun Patel"/>
    <x v="17"/>
    <s v="Sports &amp; Outdoors"/>
    <n v="2"/>
    <n v="354.17999267578125"/>
    <n v="756.17999267578125"/>
    <x v="1"/>
  </r>
  <r>
    <x v="29"/>
    <s v="Mohit Reddy"/>
    <x v="17"/>
    <s v="Clothing"/>
    <n v="4"/>
    <n v="437.47000122070313"/>
    <n v="2073.679931640625"/>
    <x v="2"/>
  </r>
  <r>
    <x v="74"/>
    <s v="Aman Sharma"/>
    <x v="39"/>
    <s v="Toys &amp; Games"/>
    <n v="1"/>
    <n v="392.70999145507813"/>
    <n v="403.67001342773438"/>
    <x v="1"/>
  </r>
  <r>
    <x v="75"/>
    <s v="Kabir Patel"/>
    <x v="38"/>
    <s v="Electronics"/>
    <n v="1"/>
    <n v="592.90997314453125"/>
    <n v="598.25"/>
    <x v="1"/>
  </r>
  <r>
    <x v="76"/>
    <s v="Neha Sharma"/>
    <x v="29"/>
    <s v="Home &amp; Kitchen"/>
    <n v="2"/>
    <n v="76.970001220703125"/>
    <n v="166.55000305175781"/>
    <x v="3"/>
  </r>
  <r>
    <x v="77"/>
    <s v="Vihaan Patel"/>
    <x v="40"/>
    <s v="Electronics"/>
    <n v="1"/>
    <n v="534.30999755859375"/>
    <n v="553.05999755859375"/>
    <x v="0"/>
  </r>
  <r>
    <x v="78"/>
    <s v="Priya Kumar"/>
    <x v="17"/>
    <s v="Toys &amp; Games"/>
    <n v="2"/>
    <n v="402.76998901367188"/>
    <n v="816.5999755859375"/>
    <x v="0"/>
  </r>
  <r>
    <x v="79"/>
    <s v="Vivaan Kumar"/>
    <x v="6"/>
    <s v="Home &amp; Kitchen"/>
    <n v="3"/>
    <n v="335.10000610351563"/>
    <n v="981.3900146484375"/>
    <x v="1"/>
  </r>
  <r>
    <x v="80"/>
    <s v="Ritika Verma"/>
    <x v="34"/>
    <s v="Books"/>
    <n v="3"/>
    <n v="258.1300048828125"/>
    <n v="875.780029296875"/>
    <x v="1"/>
  </r>
  <r>
    <x v="81"/>
    <s v="Aditya Joshi"/>
    <x v="1"/>
    <s v="Sports &amp; Outdoors"/>
    <n v="1"/>
    <n v="594.66998291015625"/>
    <n v="553.1300048828125"/>
    <x v="1"/>
  </r>
  <r>
    <x v="82"/>
    <s v="Aditya Reddy"/>
    <x v="21"/>
    <s v="Electronics"/>
    <n v="4"/>
    <n v="494.1300048828125"/>
    <n v="2110.18994140625"/>
    <x v="1"/>
  </r>
  <r>
    <x v="83"/>
    <s v="Arjun Singh"/>
    <x v="41"/>
    <s v="Sports &amp; Outdoors"/>
    <n v="4"/>
    <n v="15.470000267028809"/>
    <n v="73.279998779296875"/>
    <x v="1"/>
  </r>
  <r>
    <x v="84"/>
    <s v="Neha Reddy"/>
    <x v="41"/>
    <s v="Sports &amp; Outdoors"/>
    <n v="4"/>
    <n v="28.590000152587891"/>
    <n v="147.96000671386719"/>
    <x v="1"/>
  </r>
  <r>
    <x v="85"/>
    <s v="Mohit Gupta"/>
    <x v="5"/>
    <s v="Electronics"/>
    <n v="5"/>
    <n v="456.57998657226563"/>
    <n v="2103.179931640625"/>
    <x v="2"/>
  </r>
  <r>
    <x v="86"/>
    <s v="Aman Kapoor"/>
    <x v="4"/>
    <s v="Books"/>
    <n v="3"/>
    <n v="324.30999755859375"/>
    <n v="845.239990234375"/>
    <x v="1"/>
  </r>
  <r>
    <x v="87"/>
    <s v="Karan Kumar"/>
    <x v="27"/>
    <s v="Books"/>
    <n v="5"/>
    <n v="342.260009765625"/>
    <n v="1485.8499755859375"/>
    <x v="1"/>
  </r>
  <r>
    <x v="88"/>
    <s v="Sahil Kumar"/>
    <x v="34"/>
    <s v="Clothing"/>
    <n v="5"/>
    <n v="201.16000366210938"/>
    <n v="878.3900146484375"/>
    <x v="1"/>
  </r>
  <r>
    <x v="89"/>
    <s v="Priya Mehta"/>
    <x v="23"/>
    <s v="Sports &amp; Outdoors"/>
    <n v="4"/>
    <n v="555.989990234375"/>
    <n v="2367.550048828125"/>
    <x v="1"/>
  </r>
  <r>
    <x v="90"/>
    <s v="Vikas Joshi"/>
    <x v="28"/>
    <s v="Home &amp; Kitchen"/>
    <n v="5"/>
    <n v="138.55999755859375"/>
    <n v="589.65997314453125"/>
    <x v="1"/>
  </r>
  <r>
    <x v="91"/>
    <s v="Aman Joshi"/>
    <x v="42"/>
    <s v="Clothing"/>
    <n v="4"/>
    <n v="409.77999877929688"/>
    <n v="1948.449951171875"/>
    <x v="1"/>
  </r>
  <r>
    <x v="92"/>
    <s v="Vihaan Kumar"/>
    <x v="23"/>
    <s v="Electronics"/>
    <n v="4"/>
    <n v="42.310001373291016"/>
    <n v="165.78999328613281"/>
    <x v="1"/>
  </r>
  <r>
    <x v="93"/>
    <s v="Sneha Verma"/>
    <x v="43"/>
    <s v="Electronics"/>
    <n v="1"/>
    <n v="170.8800048828125"/>
    <n v="160.69999694824219"/>
    <x v="1"/>
  </r>
  <r>
    <x v="94"/>
    <s v="Anjali Sharma"/>
    <x v="42"/>
    <s v="Books"/>
    <n v="3"/>
    <n v="548.16998291015625"/>
    <n v="1564.9100341796875"/>
    <x v="1"/>
  </r>
  <r>
    <x v="95"/>
    <s v="Ritika Reddy"/>
    <x v="21"/>
    <s v="Electronics"/>
    <n v="4"/>
    <n v="260.91000366210938"/>
    <n v="1129.989990234375"/>
    <x v="1"/>
  </r>
  <r>
    <x v="96"/>
    <s v="Sneha Kapoor"/>
    <x v="7"/>
    <s v="Books"/>
    <n v="5"/>
    <n v="384.55999755859375"/>
    <n v="1777.75"/>
    <x v="1"/>
  </r>
  <r>
    <x v="97"/>
    <s v="Sneha Sharma"/>
    <x v="5"/>
    <s v="Electronics"/>
    <n v="1"/>
    <n v="206.19999694824219"/>
    <n v="231.77999877929688"/>
    <x v="0"/>
  </r>
  <r>
    <x v="98"/>
    <s v="Aditya Sharma"/>
    <x v="12"/>
    <s v="Sports &amp; Outdoors"/>
    <n v="4"/>
    <n v="369.47000122070313"/>
    <n v="1312.47998046875"/>
    <x v="1"/>
  </r>
  <r>
    <x v="3"/>
    <s v="Sneha Verma"/>
    <x v="0"/>
    <s v="Books"/>
    <n v="1"/>
    <n v="29.370000839233398"/>
    <n v="36.290000915527344"/>
    <x v="1"/>
  </r>
  <r>
    <x v="99"/>
    <s v="Vivaan Patel"/>
    <x v="23"/>
    <s v="Home &amp; Kitchen"/>
    <n v="2"/>
    <n v="159.82000732421875"/>
    <n v="321.3900146484375"/>
    <x v="1"/>
  </r>
  <r>
    <x v="100"/>
    <s v="Aditya Reddy"/>
    <x v="8"/>
    <s v="Toys &amp; Games"/>
    <n v="4"/>
    <n v="548.3900146484375"/>
    <n v="2315.5"/>
    <x v="1"/>
  </r>
  <r>
    <x v="101"/>
    <s v="Sneha Gupta"/>
    <x v="16"/>
    <s v="Electronics"/>
    <n v="3"/>
    <n v="99.050003051757813"/>
    <n v="316.8800048828125"/>
    <x v="1"/>
  </r>
  <r>
    <x v="102"/>
    <s v="Neha Kumar"/>
    <x v="41"/>
    <s v="Toys &amp; Games"/>
    <n v="1"/>
    <n v="113.26999664306641"/>
    <n v="113.20999908447266"/>
    <x v="1"/>
  </r>
  <r>
    <x v="103"/>
    <s v="Sahil Singh"/>
    <x v="21"/>
    <s v="Sports &amp; Outdoors"/>
    <n v="3"/>
    <n v="297.260009765625"/>
    <n v="954.09002685546875"/>
    <x v="1"/>
  </r>
  <r>
    <x v="104"/>
    <s v="Ritika Kapoor"/>
    <x v="44"/>
    <s v="Clothing"/>
    <n v="1"/>
    <n v="483.5"/>
    <n v="526.79998779296875"/>
    <x v="1"/>
  </r>
  <r>
    <x v="105"/>
    <s v="Neha Kumar"/>
    <x v="33"/>
    <s v="Sports &amp; Outdoors"/>
    <n v="3"/>
    <n v="127.41999816894531"/>
    <n v="343.04998779296875"/>
    <x v="1"/>
  </r>
  <r>
    <x v="106"/>
    <s v="Neha Mehta"/>
    <x v="5"/>
    <s v="Sports &amp; Outdoors"/>
    <n v="5"/>
    <n v="520.69000244140625"/>
    <n v="2743.60009765625"/>
    <x v="0"/>
  </r>
  <r>
    <x v="107"/>
    <s v="Rohit Verma"/>
    <x v="4"/>
    <s v="Clothing"/>
    <n v="5"/>
    <n v="61.479999542236328"/>
    <n v="365.3699951171875"/>
    <x v="1"/>
  </r>
  <r>
    <x v="108"/>
    <s v="Vihaan Mehta"/>
    <x v="28"/>
    <s v="Books"/>
    <n v="5"/>
    <n v="314"/>
    <n v="1860.739990234375"/>
    <x v="1"/>
  </r>
  <r>
    <x v="109"/>
    <s v="Vikas Mehta"/>
    <x v="45"/>
    <s v="Sports &amp; Outdoors"/>
    <n v="4"/>
    <n v="189.69999694824219"/>
    <n v="610.760009765625"/>
    <x v="1"/>
  </r>
  <r>
    <x v="110"/>
    <s v="Karan Joshi"/>
    <x v="21"/>
    <s v="Clothing"/>
    <n v="2"/>
    <n v="103.29000091552734"/>
    <n v="165.80999755859375"/>
    <x v="1"/>
  </r>
  <r>
    <x v="111"/>
    <s v="Vivaan Verma"/>
    <x v="30"/>
    <s v="Home &amp; Kitchen"/>
    <n v="3"/>
    <n v="167.08000183105469"/>
    <n v="548.6300048828125"/>
    <x v="1"/>
  </r>
  <r>
    <x v="112"/>
    <s v="Vivaan Mehta"/>
    <x v="19"/>
    <s v="Sports &amp; Outdoors"/>
    <n v="4"/>
    <n v="468.57000732421875"/>
    <n v="1490.6300048828125"/>
    <x v="1"/>
  </r>
  <r>
    <x v="113"/>
    <s v="Anjali Verma"/>
    <x v="11"/>
    <s v="Clothing"/>
    <n v="2"/>
    <n v="25.309999465942383"/>
    <n v="65.30999755859375"/>
    <x v="1"/>
  </r>
  <r>
    <x v="114"/>
    <s v="Sneha Kumar"/>
    <x v="24"/>
    <s v="Sports &amp; Outdoors"/>
    <n v="2"/>
    <n v="590.96002197265625"/>
    <n v="1263.06005859375"/>
    <x v="1"/>
  </r>
  <r>
    <x v="115"/>
    <s v="Rohit Reddy"/>
    <x v="29"/>
    <s v="Home &amp; Kitchen"/>
    <n v="2"/>
    <n v="433.239990234375"/>
    <n v="932.16998291015625"/>
    <x v="1"/>
  </r>
  <r>
    <x v="116"/>
    <s v="Simran Singh"/>
    <x v="31"/>
    <s v="Books"/>
    <n v="4"/>
    <n v="187.75"/>
    <n v="851.3900146484375"/>
    <x v="1"/>
  </r>
  <r>
    <x v="117"/>
    <s v="Karan Singh"/>
    <x v="41"/>
    <s v="Toys &amp; Games"/>
    <n v="5"/>
    <n v="230.99000549316406"/>
    <n v="1110.199951171875"/>
    <x v="1"/>
  </r>
  <r>
    <x v="118"/>
    <s v="Pooja Joshi"/>
    <x v="20"/>
    <s v="Sports &amp; Outdoors"/>
    <n v="5"/>
    <n v="246.1300048828125"/>
    <n v="1117.280029296875"/>
    <x v="2"/>
  </r>
  <r>
    <x v="119"/>
    <s v="Sneha Verma"/>
    <x v="31"/>
    <s v="Home &amp; Kitchen"/>
    <n v="1"/>
    <n v="18.659999847412109"/>
    <n v="24.620000839233398"/>
    <x v="1"/>
  </r>
  <r>
    <x v="120"/>
    <s v="Simran Reddy"/>
    <x v="43"/>
    <s v="Clothing"/>
    <n v="2"/>
    <n v="48.990001678466797"/>
    <n v="78.739997863769531"/>
    <x v="1"/>
  </r>
  <r>
    <x v="121"/>
    <s v="Vihaan Sharma"/>
    <x v="19"/>
    <s v="Sports &amp; Outdoors"/>
    <n v="5"/>
    <n v="200.05000305175781"/>
    <n v="1066.6099853515625"/>
    <x v="4"/>
  </r>
  <r>
    <x v="122"/>
    <s v="Sahil Sharma"/>
    <x v="20"/>
    <s v="Electronics"/>
    <n v="4"/>
    <n v="149.47000122070313"/>
    <n v="680.1099853515625"/>
    <x v="1"/>
  </r>
  <r>
    <x v="123"/>
    <s v="Aditya Kumar"/>
    <x v="35"/>
    <s v="Sports &amp; Outdoors"/>
    <n v="3"/>
    <n v="460.510009765625"/>
    <n v="1473.1099853515625"/>
    <x v="1"/>
  </r>
  <r>
    <x v="124"/>
    <s v="Mohit Mehta"/>
    <x v="31"/>
    <s v="Home &amp; Kitchen"/>
    <n v="5"/>
    <n v="141.30999755859375"/>
    <n v="687.20001220703125"/>
    <x v="1"/>
  </r>
  <r>
    <x v="125"/>
    <s v="Neha Joshi"/>
    <x v="17"/>
    <s v="Books"/>
    <n v="3"/>
    <n v="204.14999389648438"/>
    <n v="627.44000244140625"/>
    <x v="1"/>
  </r>
  <r>
    <x v="126"/>
    <s v="Rohit Mehta"/>
    <x v="27"/>
    <s v="Books"/>
    <n v="4"/>
    <n v="577.3599853515625"/>
    <n v="1944.010009765625"/>
    <x v="1"/>
  </r>
  <r>
    <x v="127"/>
    <s v="Vivaan Singh"/>
    <x v="31"/>
    <s v="Electronics"/>
    <n v="2"/>
    <n v="509.26998901367188"/>
    <n v="1025.25"/>
    <x v="1"/>
  </r>
  <r>
    <x v="128"/>
    <s v="Sunita Sharma"/>
    <x v="7"/>
    <s v="Clothing"/>
    <n v="3"/>
    <n v="496.1199951171875"/>
    <n v="1568.68994140625"/>
    <x v="3"/>
  </r>
  <r>
    <x v="129"/>
    <s v="Sunita Gupta"/>
    <x v="39"/>
    <s v="Clothing"/>
    <n v="3"/>
    <n v="497.739990234375"/>
    <n v="1679.989990234375"/>
    <x v="1"/>
  </r>
  <r>
    <x v="130"/>
    <s v="Simran Gupta"/>
    <x v="43"/>
    <s v="Books"/>
    <n v="4"/>
    <n v="384.80999755859375"/>
    <n v="1737.06005859375"/>
    <x v="1"/>
  </r>
  <r>
    <x v="131"/>
    <s v="Karan Reddy"/>
    <x v="18"/>
    <s v="Toys &amp; Games"/>
    <n v="2"/>
    <n v="321.45999145507813"/>
    <n v="653.47998046875"/>
    <x v="0"/>
  </r>
  <r>
    <x v="132"/>
    <s v="Neha Singh"/>
    <x v="46"/>
    <s v="Toys &amp; Games"/>
    <n v="5"/>
    <n v="498.260009765625"/>
    <n v="2559.719970703125"/>
    <x v="4"/>
  </r>
  <r>
    <x v="133"/>
    <s v="Rohit Gupta"/>
    <x v="32"/>
    <s v="Books"/>
    <n v="5"/>
    <n v="211.8800048828125"/>
    <n v="1039.489990234375"/>
    <x v="1"/>
  </r>
  <r>
    <x v="134"/>
    <s v="Rohit Sharma"/>
    <x v="6"/>
    <s v="Clothing"/>
    <n v="2"/>
    <n v="333.8800048828125"/>
    <n v="644.97998046875"/>
    <x v="0"/>
  </r>
  <r>
    <x v="135"/>
    <s v="Ritika Reddy"/>
    <x v="27"/>
    <s v="Electronics"/>
    <n v="2"/>
    <n v="522.6500244140625"/>
    <n v="1086.3299560546875"/>
    <x v="1"/>
  </r>
  <r>
    <x v="136"/>
    <s v="Vivaan Patel"/>
    <x v="33"/>
    <s v="Toys &amp; Games"/>
    <n v="4"/>
    <n v="67.779998779296875"/>
    <n v="289.33999633789063"/>
    <x v="1"/>
  </r>
  <r>
    <x v="137"/>
    <s v="Vivaan Sharma"/>
    <x v="26"/>
    <s v="Books"/>
    <n v="5"/>
    <n v="22.670000076293945"/>
    <n v="126.51000213623047"/>
    <x v="1"/>
  </r>
  <r>
    <x v="138"/>
    <s v="Ritika Joshi"/>
    <x v="41"/>
    <s v="Home &amp; Kitchen"/>
    <n v="5"/>
    <n v="544.52001953125"/>
    <n v="2289.77001953125"/>
    <x v="1"/>
  </r>
  <r>
    <x v="139"/>
    <s v="Aman Reddy"/>
    <x v="10"/>
    <s v="Electronics"/>
    <n v="1"/>
    <n v="431.010009765625"/>
    <n v="433.239990234375"/>
    <x v="1"/>
  </r>
  <r>
    <x v="140"/>
    <s v="Mohit Sharma"/>
    <x v="32"/>
    <s v="Books"/>
    <n v="3"/>
    <n v="346.55999755859375"/>
    <n v="929.77001953125"/>
    <x v="1"/>
  </r>
  <r>
    <x v="141"/>
    <s v="Aman Verma"/>
    <x v="15"/>
    <s v="Books"/>
    <n v="1"/>
    <n v="87.790000915527344"/>
    <n v="114.51000213623047"/>
    <x v="4"/>
  </r>
  <r>
    <x v="142"/>
    <s v="Mohit Verma"/>
    <x v="27"/>
    <s v="Home &amp; Kitchen"/>
    <n v="4"/>
    <n v="596.79998779296875"/>
    <n v="2542.080078125"/>
    <x v="0"/>
  </r>
  <r>
    <x v="143"/>
    <s v="Kabir Verma"/>
    <x v="27"/>
    <s v="Electronics"/>
    <n v="1"/>
    <n v="194.16999816894531"/>
    <n v="209.21000671386719"/>
    <x v="0"/>
  </r>
  <r>
    <x v="144"/>
    <s v="Sneha Mehta"/>
    <x v="35"/>
    <s v="Clothing"/>
    <n v="2"/>
    <n v="42.520000457763672"/>
    <n v="95.94000244140625"/>
    <x v="1"/>
  </r>
  <r>
    <x v="145"/>
    <s v="Vihaan Kapoor"/>
    <x v="26"/>
    <s v="Toys &amp; Games"/>
    <n v="3"/>
    <n v="262.01998901367188"/>
    <n v="795.510009765625"/>
    <x v="1"/>
  </r>
  <r>
    <x v="146"/>
    <s v="Sneha Kapoor"/>
    <x v="29"/>
    <s v="Toys &amp; Games"/>
    <n v="3"/>
    <n v="43.799999237060547"/>
    <n v="148.13999938964844"/>
    <x v="1"/>
  </r>
  <r>
    <x v="147"/>
    <s v="Kabir Sharma"/>
    <x v="27"/>
    <s v="Clothing"/>
    <n v="4"/>
    <n v="306.010009765625"/>
    <n v="908.90997314453125"/>
    <x v="4"/>
  </r>
  <r>
    <x v="148"/>
    <s v="Kabir Verma"/>
    <x v="4"/>
    <s v="Sports &amp; Outdoors"/>
    <n v="4"/>
    <n v="251.60000610351563"/>
    <n v="1028.199951171875"/>
    <x v="4"/>
  </r>
  <r>
    <x v="149"/>
    <s v="Karan Kapoor"/>
    <x v="18"/>
    <s v="Electronics"/>
    <n v="3"/>
    <n v="431.79000854492188"/>
    <n v="1371.3800048828125"/>
    <x v="1"/>
  </r>
  <r>
    <x v="150"/>
    <s v="Ritika Reddy"/>
    <x v="5"/>
    <s v="Books"/>
    <n v="4"/>
    <n v="291.1300048828125"/>
    <n v="1041.8499755859375"/>
    <x v="4"/>
  </r>
  <r>
    <x v="151"/>
    <s v="Anjali Gupta"/>
    <x v="14"/>
    <s v="Clothing"/>
    <n v="3"/>
    <n v="414.45999145507813"/>
    <n v="1049.1199951171875"/>
    <x v="1"/>
  </r>
  <r>
    <x v="152"/>
    <s v="Rohit Patel"/>
    <x v="39"/>
    <s v="Electronics"/>
    <n v="3"/>
    <n v="180.8699951171875"/>
    <n v="571.780029296875"/>
    <x v="1"/>
  </r>
  <r>
    <x v="153"/>
    <s v="Sneha Gupta"/>
    <x v="25"/>
    <s v="Sports &amp; Outdoors"/>
    <n v="5"/>
    <n v="104.18000030517578"/>
    <n v="477.5"/>
    <x v="4"/>
  </r>
  <r>
    <x v="154"/>
    <s v="Sunita Singh"/>
    <x v="23"/>
    <s v="Books"/>
    <n v="2"/>
    <n v="400.69000244140625"/>
    <n v="789.6199951171875"/>
    <x v="2"/>
  </r>
  <r>
    <x v="155"/>
    <s v="Priya Joshi"/>
    <x v="40"/>
    <s v="Home &amp; Kitchen"/>
    <n v="3"/>
    <n v="479.989990234375"/>
    <n v="1218.27001953125"/>
    <x v="1"/>
  </r>
  <r>
    <x v="156"/>
    <s v="Anjali Verma"/>
    <x v="20"/>
    <s v="Sports &amp; Outdoors"/>
    <n v="1"/>
    <n v="247.53999328613281"/>
    <n v="265.45001220703125"/>
    <x v="1"/>
  </r>
  <r>
    <x v="157"/>
    <s v="Aarav Joshi"/>
    <x v="39"/>
    <s v="Toys &amp; Games"/>
    <n v="3"/>
    <n v="14.510000228881836"/>
    <n v="47.130001068115234"/>
    <x v="1"/>
  </r>
  <r>
    <x v="158"/>
    <s v="Kabir Kapoor"/>
    <x v="12"/>
    <s v="Electronics"/>
    <n v="5"/>
    <n v="216.33000183105469"/>
    <n v="875.04998779296875"/>
    <x v="1"/>
  </r>
  <r>
    <x v="159"/>
    <s v="Vihaan Verma"/>
    <x v="15"/>
    <s v="Home &amp; Kitchen"/>
    <n v="3"/>
    <n v="38.529998779296875"/>
    <n v="129.77000427246094"/>
    <x v="1"/>
  </r>
  <r>
    <x v="100"/>
    <s v="Sahil Kumar"/>
    <x v="34"/>
    <s v="Electronics"/>
    <n v="3"/>
    <n v="465.66000366210938"/>
    <n v="1321.030029296875"/>
    <x v="1"/>
  </r>
  <r>
    <x v="160"/>
    <s v="Aman Gupta"/>
    <x v="27"/>
    <s v="Electronics"/>
    <n v="5"/>
    <n v="35.270000457763672"/>
    <n v="210.5"/>
    <x v="1"/>
  </r>
  <r>
    <x v="161"/>
    <s v="Arjun Patel"/>
    <x v="47"/>
    <s v="Home &amp; Kitchen"/>
    <n v="2"/>
    <n v="82.5"/>
    <n v="189.35000610351563"/>
    <x v="1"/>
  </r>
  <r>
    <x v="162"/>
    <s v="Aditya Kumar"/>
    <x v="13"/>
    <s v="Home &amp; Kitchen"/>
    <n v="4"/>
    <n v="298.95999145507813"/>
    <n v="1165.989990234375"/>
    <x v="1"/>
  </r>
  <r>
    <x v="163"/>
    <s v="Vikas Gupta"/>
    <x v="27"/>
    <s v="Toys &amp; Games"/>
    <n v="5"/>
    <n v="232.6199951171875"/>
    <n v="1202.699951171875"/>
    <x v="1"/>
  </r>
  <r>
    <x v="148"/>
    <s v="Mohit Joshi"/>
    <x v="38"/>
    <s v="Books"/>
    <n v="4"/>
    <n v="493.20001220703125"/>
    <n v="1771.3699951171875"/>
    <x v="2"/>
  </r>
  <r>
    <x v="164"/>
    <s v="Sahil Gupta"/>
    <x v="43"/>
    <s v="Clothing"/>
    <n v="4"/>
    <n v="497.42001342773438"/>
    <n v="2129.360107421875"/>
    <x v="2"/>
  </r>
  <r>
    <x v="165"/>
    <s v="Kabir Reddy"/>
    <x v="31"/>
    <s v="Clothing"/>
    <n v="1"/>
    <n v="154.24000549316406"/>
    <n v="173.97000122070313"/>
    <x v="1"/>
  </r>
  <r>
    <x v="166"/>
    <s v="Aarav Reddy"/>
    <x v="45"/>
    <s v="Sports &amp; Outdoors"/>
    <n v="3"/>
    <n v="497.51998901367188"/>
    <n v="1497.949951171875"/>
    <x v="1"/>
  </r>
  <r>
    <x v="167"/>
    <s v="Priya Verma"/>
    <x v="14"/>
    <s v="Books"/>
    <n v="4"/>
    <n v="64.529998779296875"/>
    <n v="271.79000854492188"/>
    <x v="1"/>
  </r>
  <r>
    <x v="168"/>
    <s v="Arjun Gupta"/>
    <x v="48"/>
    <s v="Electronics"/>
    <n v="4"/>
    <n v="331.20999145507813"/>
    <n v="1396.97998046875"/>
    <x v="1"/>
  </r>
  <r>
    <x v="169"/>
    <s v="Vihaan Verma"/>
    <x v="27"/>
    <s v="Clothing"/>
    <n v="4"/>
    <n v="155.8699951171875"/>
    <n v="596.97998046875"/>
    <x v="1"/>
  </r>
  <r>
    <x v="170"/>
    <s v="Sahil Singh"/>
    <x v="37"/>
    <s v="Clothing"/>
    <n v="1"/>
    <n v="598.75"/>
    <n v="569.16998291015625"/>
    <x v="4"/>
  </r>
  <r>
    <x v="171"/>
    <s v="Pooja Gupta"/>
    <x v="21"/>
    <s v="Electronics"/>
    <n v="5"/>
    <n v="489.41000366210938"/>
    <n v="2610.89990234375"/>
    <x v="1"/>
  </r>
  <r>
    <x v="172"/>
    <s v="Kabir Kumar"/>
    <x v="24"/>
    <s v="Toys &amp; Games"/>
    <n v="4"/>
    <n v="131.22000122070313"/>
    <n v="486.510009765625"/>
    <x v="0"/>
  </r>
  <r>
    <x v="173"/>
    <s v="Anjali Kumar"/>
    <x v="0"/>
    <s v="Toys &amp; Games"/>
    <n v="2"/>
    <n v="176.3800048828125"/>
    <n v="372.98001098632813"/>
    <x v="1"/>
  </r>
  <r>
    <x v="174"/>
    <s v="Pooja Reddy"/>
    <x v="9"/>
    <s v="Sports &amp; Outdoors"/>
    <n v="1"/>
    <n v="418.70001220703125"/>
    <n v="321.01998901367188"/>
    <x v="1"/>
  </r>
  <r>
    <x v="175"/>
    <s v="Neha Gupta"/>
    <x v="17"/>
    <s v="Home &amp; Kitchen"/>
    <n v="2"/>
    <n v="531.4000244140625"/>
    <n v="1194.8299560546875"/>
    <x v="1"/>
  </r>
  <r>
    <x v="176"/>
    <s v="Vivaan Verma"/>
    <x v="31"/>
    <s v="Books"/>
    <n v="5"/>
    <n v="341.70001220703125"/>
    <n v="1816.1300048828125"/>
    <x v="1"/>
  </r>
  <r>
    <x v="177"/>
    <s v="Karan Gupta"/>
    <x v="34"/>
    <s v="Electronics"/>
    <n v="2"/>
    <n v="375.82000732421875"/>
    <n v="763.30999755859375"/>
    <x v="3"/>
  </r>
  <r>
    <x v="178"/>
    <s v="Vivaan Sharma"/>
    <x v="14"/>
    <s v="Home &amp; Kitchen"/>
    <n v="3"/>
    <n v="99.260002136230469"/>
    <n v="326.79000854492188"/>
    <x v="1"/>
  </r>
  <r>
    <x v="179"/>
    <s v="Anjali Singh"/>
    <x v="39"/>
    <s v="Home &amp; Kitchen"/>
    <n v="2"/>
    <n v="572.09002685546875"/>
    <n v="1238.3499755859375"/>
    <x v="1"/>
  </r>
  <r>
    <x v="180"/>
    <s v="Pooja Singh"/>
    <x v="11"/>
    <s v="Toys &amp; Games"/>
    <n v="2"/>
    <n v="495.32000732421875"/>
    <n v="1050.1800537109375"/>
    <x v="1"/>
  </r>
  <r>
    <x v="181"/>
    <s v="Simran Reddy"/>
    <x v="32"/>
    <s v="Sports &amp; Outdoors"/>
    <n v="2"/>
    <n v="190.82000732421875"/>
    <n v="328.16000366210938"/>
    <x v="2"/>
  </r>
  <r>
    <x v="182"/>
    <s v="Karan Reddy"/>
    <x v="37"/>
    <s v="Home &amp; Kitchen"/>
    <n v="1"/>
    <n v="50.919998168945313"/>
    <n v="45.299999237060547"/>
    <x v="1"/>
  </r>
  <r>
    <x v="183"/>
    <s v="Aarav Verma"/>
    <x v="16"/>
    <s v="Toys &amp; Games"/>
    <n v="5"/>
    <n v="129.25"/>
    <n v="599.489990234375"/>
    <x v="1"/>
  </r>
  <r>
    <x v="184"/>
    <s v="Aditya Singh"/>
    <x v="10"/>
    <s v="Sports &amp; Outdoors"/>
    <n v="3"/>
    <n v="416.83999633789063"/>
    <n v="1162.3800048828125"/>
    <x v="1"/>
  </r>
  <r>
    <x v="138"/>
    <s v="Sahil Sharma"/>
    <x v="6"/>
    <s v="Sports &amp; Outdoors"/>
    <n v="5"/>
    <n v="319.27999877929688"/>
    <n v="1604.800048828125"/>
    <x v="1"/>
  </r>
  <r>
    <x v="185"/>
    <s v="Vikas Kapoor"/>
    <x v="1"/>
    <s v="Books"/>
    <n v="2"/>
    <n v="67.540000915527344"/>
    <n v="140.24000549316406"/>
    <x v="2"/>
  </r>
  <r>
    <x v="186"/>
    <s v="Sahil Singh"/>
    <x v="30"/>
    <s v="Toys &amp; Games"/>
    <n v="2"/>
    <n v="289.23001098632813"/>
    <n v="533.69000244140625"/>
    <x v="1"/>
  </r>
  <r>
    <x v="187"/>
    <s v="Karan Singh"/>
    <x v="22"/>
    <s v="Home &amp; Kitchen"/>
    <n v="2"/>
    <n v="373.57998657226563"/>
    <n v="654.28997802734375"/>
    <x v="1"/>
  </r>
  <r>
    <x v="188"/>
    <s v="Vivaan Gupta"/>
    <x v="29"/>
    <s v="Sports &amp; Outdoors"/>
    <n v="4"/>
    <n v="359.8900146484375"/>
    <n v="1449.1099853515625"/>
    <x v="1"/>
  </r>
  <r>
    <x v="189"/>
    <s v="Vikas Sharma"/>
    <x v="39"/>
    <s v="Toys &amp; Games"/>
    <n v="5"/>
    <n v="449.10000610351563"/>
    <n v="2129.47998046875"/>
    <x v="1"/>
  </r>
  <r>
    <x v="190"/>
    <s v="Vikas Kumar"/>
    <x v="27"/>
    <s v="Electronics"/>
    <n v="3"/>
    <n v="270.41000366210938"/>
    <n v="770.530029296875"/>
    <x v="1"/>
  </r>
  <r>
    <x v="191"/>
    <s v="Sneha Verma"/>
    <x v="22"/>
    <s v="Home &amp; Kitchen"/>
    <n v="2"/>
    <n v="387.30999755859375"/>
    <n v="874.69000244140625"/>
    <x v="1"/>
  </r>
  <r>
    <x v="192"/>
    <s v="Vikas Reddy"/>
    <x v="42"/>
    <s v="Books"/>
    <n v="3"/>
    <n v="272.1400146484375"/>
    <n v="925.54998779296875"/>
    <x v="2"/>
  </r>
  <r>
    <x v="193"/>
    <s v="Karan Kapoor"/>
    <x v="44"/>
    <s v="Home &amp; Kitchen"/>
    <n v="1"/>
    <n v="420.6199951171875"/>
    <n v="447.33999633789063"/>
    <x v="1"/>
  </r>
  <r>
    <x v="194"/>
    <s v="Arjun Kumar"/>
    <x v="8"/>
    <s v="Clothing"/>
    <n v="4"/>
    <n v="575.92999267578125"/>
    <n v="2318.219970703125"/>
    <x v="0"/>
  </r>
  <r>
    <x v="195"/>
    <s v="Mohit Singh"/>
    <x v="22"/>
    <s v="Toys &amp; Games"/>
    <n v="5"/>
    <n v="167.97000122070313"/>
    <n v="848.20001220703125"/>
    <x v="1"/>
  </r>
  <r>
    <x v="196"/>
    <s v="Karan Sharma"/>
    <x v="20"/>
    <s v="Toys &amp; Games"/>
    <n v="5"/>
    <n v="471.1400146484375"/>
    <n v="2548.340087890625"/>
    <x v="2"/>
  </r>
  <r>
    <x v="197"/>
    <s v="Mohit Patel"/>
    <x v="3"/>
    <s v="Toys &amp; Games"/>
    <n v="3"/>
    <n v="461.70001220703125"/>
    <n v="1395.2099609375"/>
    <x v="0"/>
  </r>
  <r>
    <x v="198"/>
    <s v="Karan Kumar"/>
    <x v="21"/>
    <s v="Sports &amp; Outdoors"/>
    <n v="2"/>
    <n v="303.76998901367188"/>
    <n v="489.89999389648438"/>
    <x v="3"/>
  </r>
  <r>
    <x v="150"/>
    <s v="Pooja Singh"/>
    <x v="41"/>
    <s v="Electronics"/>
    <n v="4"/>
    <n v="312.3599853515625"/>
    <n v="1127.02001953125"/>
    <x v="1"/>
  </r>
  <r>
    <x v="199"/>
    <s v="Vihaan Mehta"/>
    <x v="10"/>
    <s v="Books"/>
    <n v="3"/>
    <n v="59.090000152587891"/>
    <n v="164.80000305175781"/>
    <x v="0"/>
  </r>
  <r>
    <x v="200"/>
    <s v="Vivaan Joshi"/>
    <x v="28"/>
    <s v="Books"/>
    <n v="1"/>
    <n v="266.91000366210938"/>
    <n v="281.17999267578125"/>
    <x v="0"/>
  </r>
  <r>
    <x v="201"/>
    <s v="Sneha Kumar"/>
    <x v="8"/>
    <s v="Electronics"/>
    <n v="3"/>
    <n v="568.010009765625"/>
    <n v="1716.969970703125"/>
    <x v="4"/>
  </r>
  <r>
    <x v="141"/>
    <s v="Simran Patel"/>
    <x v="32"/>
    <s v="Books"/>
    <n v="2"/>
    <n v="454.72000122070313"/>
    <n v="933.4000244140625"/>
    <x v="0"/>
  </r>
  <r>
    <x v="202"/>
    <s v="Priya Kumar"/>
    <x v="13"/>
    <s v="Books"/>
    <n v="3"/>
    <n v="189.1199951171875"/>
    <n v="493.79998779296875"/>
    <x v="4"/>
  </r>
  <r>
    <x v="93"/>
    <s v="Sneha Sharma"/>
    <x v="26"/>
    <s v="Home &amp; Kitchen"/>
    <n v="5"/>
    <n v="104.68000030517578"/>
    <n v="482.8599853515625"/>
    <x v="1"/>
  </r>
  <r>
    <x v="71"/>
    <s v="Rohit Mehta"/>
    <x v="32"/>
    <s v="Sports &amp; Outdoors"/>
    <n v="2"/>
    <n v="116.02999877929688"/>
    <n v="206.03999328613281"/>
    <x v="0"/>
  </r>
  <r>
    <x v="203"/>
    <s v="Anjali Gupta"/>
    <x v="41"/>
    <s v="Clothing"/>
    <n v="3"/>
    <n v="83.30999755859375"/>
    <n v="273.39999389648438"/>
    <x v="1"/>
  </r>
  <r>
    <x v="204"/>
    <s v="Aditya Gupta"/>
    <x v="49"/>
    <s v="Electronics"/>
    <n v="3"/>
    <n v="556.67999267578125"/>
    <n v="1754.5999755859375"/>
    <x v="2"/>
  </r>
  <r>
    <x v="205"/>
    <s v="Vikas Reddy"/>
    <x v="34"/>
    <s v="Home &amp; Kitchen"/>
    <n v="3"/>
    <n v="404.760009765625"/>
    <n v="1443.3499755859375"/>
    <x v="1"/>
  </r>
  <r>
    <x v="206"/>
    <s v="Sunita Reddy"/>
    <x v="33"/>
    <s v="Toys &amp; Games"/>
    <n v="5"/>
    <n v="470.82000732421875"/>
    <n v="2300.580078125"/>
    <x v="1"/>
  </r>
  <r>
    <x v="207"/>
    <s v="Anjali Sharma"/>
    <x v="18"/>
    <s v="Home &amp; Kitchen"/>
    <n v="5"/>
    <n v="88.239997863769531"/>
    <n v="489.94000244140625"/>
    <x v="0"/>
  </r>
  <r>
    <x v="208"/>
    <s v="Vihaan Gupta"/>
    <x v="19"/>
    <s v="Home &amp; Kitchen"/>
    <n v="3"/>
    <n v="410.89999389648438"/>
    <n v="1331.8900146484375"/>
    <x v="0"/>
  </r>
  <r>
    <x v="209"/>
    <s v="Mohit Kapoor"/>
    <x v="14"/>
    <s v="Clothing"/>
    <n v="4"/>
    <n v="485.32000732421875"/>
    <n v="1790.43994140625"/>
    <x v="1"/>
  </r>
  <r>
    <x v="47"/>
    <s v="Pooja Sharma"/>
    <x v="7"/>
    <s v="Clothing"/>
    <n v="1"/>
    <n v="49.310001373291016"/>
    <n v="52.470001220703125"/>
    <x v="1"/>
  </r>
  <r>
    <x v="210"/>
    <s v="Vihaan Kapoor"/>
    <x v="41"/>
    <s v="Sports &amp; Outdoors"/>
    <n v="4"/>
    <n v="389.67001342773438"/>
    <n v="1602.5"/>
    <x v="1"/>
  </r>
  <r>
    <x v="211"/>
    <s v="Karan Patel"/>
    <x v="36"/>
    <s v="Home &amp; Kitchen"/>
    <n v="1"/>
    <n v="450.04998779296875"/>
    <n v="473.75"/>
    <x v="1"/>
  </r>
  <r>
    <x v="212"/>
    <s v="Anjali Mehta"/>
    <x v="12"/>
    <s v="Home &amp; Kitchen"/>
    <n v="3"/>
    <n v="137.33000183105469"/>
    <n v="414.010009765625"/>
    <x v="0"/>
  </r>
  <r>
    <x v="213"/>
    <s v="Kabir Reddy"/>
    <x v="42"/>
    <s v="Home &amp; Kitchen"/>
    <n v="2"/>
    <n v="114.61000061035156"/>
    <n v="248.47000122070313"/>
    <x v="1"/>
  </r>
  <r>
    <x v="214"/>
    <s v="Vihaan Mehta"/>
    <x v="39"/>
    <s v="Electronics"/>
    <n v="5"/>
    <n v="303.23001098632813"/>
    <n v="1707.6700439453125"/>
    <x v="1"/>
  </r>
  <r>
    <x v="215"/>
    <s v="Ritika Kumar"/>
    <x v="5"/>
    <s v="Toys &amp; Games"/>
    <n v="4"/>
    <n v="377.76998901367188"/>
    <n v="1534.52001953125"/>
    <x v="1"/>
  </r>
  <r>
    <x v="216"/>
    <s v="Pooja Sharma"/>
    <x v="48"/>
    <s v="Electronics"/>
    <n v="5"/>
    <n v="165.72000122070313"/>
    <n v="854.5999755859375"/>
    <x v="0"/>
  </r>
  <r>
    <x v="217"/>
    <s v="Karan Sharma"/>
    <x v="42"/>
    <s v="Electronics"/>
    <n v="5"/>
    <n v="404.32998657226563"/>
    <n v="2188.1298828125"/>
    <x v="4"/>
  </r>
  <r>
    <x v="218"/>
    <s v="Aman Reddy"/>
    <x v="16"/>
    <s v="Toys &amp; Games"/>
    <n v="5"/>
    <n v="493.80999755859375"/>
    <n v="1881.300048828125"/>
    <x v="1"/>
  </r>
  <r>
    <x v="219"/>
    <s v="Rohit Patel"/>
    <x v="17"/>
    <s v="Home &amp; Kitchen"/>
    <n v="1"/>
    <n v="590.16998291015625"/>
    <n v="530.510009765625"/>
    <x v="1"/>
  </r>
  <r>
    <x v="220"/>
    <s v="Karan Verma"/>
    <x v="39"/>
    <s v="Toys &amp; Games"/>
    <n v="2"/>
    <n v="426.66000366210938"/>
    <n v="824.03997802734375"/>
    <x v="1"/>
  </r>
  <r>
    <x v="221"/>
    <s v="Anjali Kapoor"/>
    <x v="33"/>
    <s v="Home &amp; Kitchen"/>
    <n v="3"/>
    <n v="512.1300048828125"/>
    <n v="1674.22998046875"/>
    <x v="1"/>
  </r>
  <r>
    <x v="222"/>
    <s v="Anjali Verma"/>
    <x v="30"/>
    <s v="Toys &amp; Games"/>
    <n v="4"/>
    <n v="139.58999633789063"/>
    <n v="557.3599853515625"/>
    <x v="1"/>
  </r>
  <r>
    <x v="223"/>
    <s v="Priya Reddy"/>
    <x v="44"/>
    <s v="Clothing"/>
    <n v="2"/>
    <n v="130.46000671386719"/>
    <n v="254"/>
    <x v="1"/>
  </r>
  <r>
    <x v="224"/>
    <s v="Priya Mehta"/>
    <x v="6"/>
    <s v="Electronics"/>
    <n v="5"/>
    <n v="574.239990234375"/>
    <n v="3027.85009765625"/>
    <x v="1"/>
  </r>
  <r>
    <x v="225"/>
    <s v="Anjali Mehta"/>
    <x v="25"/>
    <s v="Clothing"/>
    <n v="1"/>
    <n v="432.72000122070313"/>
    <n v="423.33999633789063"/>
    <x v="0"/>
  </r>
  <r>
    <x v="210"/>
    <s v="Priya Reddy"/>
    <x v="19"/>
    <s v="Electronics"/>
    <n v="5"/>
    <n v="73.550003051757813"/>
    <n v="321.6199951171875"/>
    <x v="1"/>
  </r>
  <r>
    <x v="226"/>
    <s v="Arjun Kumar"/>
    <x v="28"/>
    <s v="Electronics"/>
    <n v="1"/>
    <n v="257.510009765625"/>
    <n v="278.73001098632813"/>
    <x v="1"/>
  </r>
  <r>
    <x v="154"/>
    <s v="Karan Mehta"/>
    <x v="31"/>
    <s v="Clothing"/>
    <n v="5"/>
    <n v="338.760009765625"/>
    <n v="1814.6600341796875"/>
    <x v="0"/>
  </r>
  <r>
    <x v="227"/>
    <s v="Mohit Kapoor"/>
    <x v="13"/>
    <s v="Electronics"/>
    <n v="2"/>
    <n v="139.97000122070313"/>
    <n v="317.239990234375"/>
    <x v="3"/>
  </r>
  <r>
    <x v="228"/>
    <s v="Ritika Gupta"/>
    <x v="7"/>
    <s v="Electronics"/>
    <n v="4"/>
    <n v="202.97999572753906"/>
    <n v="789.280029296875"/>
    <x v="2"/>
  </r>
  <r>
    <x v="229"/>
    <s v="Sunita Reddy"/>
    <x v="1"/>
    <s v="Home &amp; Kitchen"/>
    <n v="4"/>
    <n v="319.1099853515625"/>
    <n v="1344.4100341796875"/>
    <x v="1"/>
  </r>
  <r>
    <x v="230"/>
    <s v="Aarav Gupta"/>
    <x v="0"/>
    <s v="Home &amp; Kitchen"/>
    <n v="1"/>
    <n v="370.47000122070313"/>
    <n v="353.57998657226563"/>
    <x v="1"/>
  </r>
  <r>
    <x v="126"/>
    <s v="Priya Kumar"/>
    <x v="37"/>
    <s v="Clothing"/>
    <n v="5"/>
    <n v="45.490001678466797"/>
    <n v="214.72999572753906"/>
    <x v="0"/>
  </r>
  <r>
    <x v="231"/>
    <s v="Karan Kapoor"/>
    <x v="0"/>
    <s v="Clothing"/>
    <n v="3"/>
    <n v="116.12000274658203"/>
    <n v="416.510009765625"/>
    <x v="0"/>
  </r>
  <r>
    <x v="232"/>
    <s v="Kabir Patel"/>
    <x v="46"/>
    <s v="Electronics"/>
    <n v="3"/>
    <n v="297.8599853515625"/>
    <n v="807.780029296875"/>
    <x v="1"/>
  </r>
  <r>
    <x v="233"/>
    <s v="Simran Joshi"/>
    <x v="0"/>
    <s v="Toys &amp; Games"/>
    <n v="5"/>
    <n v="89.260002136230469"/>
    <n v="484.92001342773438"/>
    <x v="1"/>
  </r>
  <r>
    <x v="234"/>
    <s v="Simran Kumar"/>
    <x v="38"/>
    <s v="Electronics"/>
    <n v="4"/>
    <n v="73.540000915527344"/>
    <n v="265.3900146484375"/>
    <x v="1"/>
  </r>
  <r>
    <x v="235"/>
    <s v="Aman Joshi"/>
    <x v="21"/>
    <s v="Home &amp; Kitchen"/>
    <n v="4"/>
    <n v="214.41999816894531"/>
    <n v="969.9099731445312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367105-605C-4875-9E10-245DF135221C}" name="pvtCount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K9" firstHeaderRow="1" firstDataRow="1" firstDataCol="1"/>
  <pivotFields count="9">
    <pivotField numFmtId="14" showAll="0"/>
    <pivotField showAll="0"/>
    <pivotField showAll="0"/>
    <pivotField showAll="0"/>
    <pivotField showAll="0"/>
    <pivotField showAll="0"/>
    <pivotField dataField="1" showAll="0"/>
    <pivotField axis="axisRow" showAll="0">
      <items count="6">
        <item x="3"/>
        <item x="2"/>
        <item x="0"/>
        <item x="4"/>
        <item x="1"/>
        <item t="default"/>
      </items>
    </pivotField>
    <pivotField showAll="0"/>
  </pivotFields>
  <rowFields count="1">
    <field x="7"/>
  </rowFields>
  <rowItems count="6">
    <i>
      <x/>
    </i>
    <i>
      <x v="1"/>
    </i>
    <i>
      <x v="2"/>
    </i>
    <i>
      <x v="3"/>
    </i>
    <i>
      <x v="4"/>
    </i>
    <i t="grand">
      <x/>
    </i>
  </rowItems>
  <colItems count="1">
    <i/>
  </colItems>
  <dataFields count="1">
    <dataField name="Sum of TotalAmount" fld="6"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FED835-E5C2-49BB-B5AA-2F78E40D1D34}" name="pvtSales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3:H64" firstHeaderRow="1" firstDataRow="1" firstDataCol="1"/>
  <pivotFields count="9">
    <pivotField numFmtId="14" showAll="0"/>
    <pivotField showAll="0"/>
    <pivotField showAll="0"/>
    <pivotField showAll="0"/>
    <pivotField showAll="0"/>
    <pivotField showAll="0"/>
    <pivotField dataField="1" showAll="0"/>
    <pivotField showAll="0"/>
    <pivotField axis="axisRow" showAll="0">
      <items count="61">
        <item x="27"/>
        <item x="47"/>
        <item x="14"/>
        <item x="46"/>
        <item x="9"/>
        <item x="41"/>
        <item x="35"/>
        <item x="43"/>
        <item x="28"/>
        <item x="25"/>
        <item x="12"/>
        <item x="19"/>
        <item x="22"/>
        <item x="52"/>
        <item x="54"/>
        <item x="10"/>
        <item x="31"/>
        <item x="56"/>
        <item x="36"/>
        <item x="42"/>
        <item x="58"/>
        <item x="40"/>
        <item x="32"/>
        <item x="51"/>
        <item x="29"/>
        <item x="18"/>
        <item x="21"/>
        <item x="38"/>
        <item x="2"/>
        <item x="44"/>
        <item x="57"/>
        <item x="24"/>
        <item x="33"/>
        <item x="49"/>
        <item x="7"/>
        <item x="5"/>
        <item x="0"/>
        <item x="4"/>
        <item x="26"/>
        <item x="23"/>
        <item x="11"/>
        <item x="37"/>
        <item x="3"/>
        <item x="17"/>
        <item x="45"/>
        <item x="15"/>
        <item x="48"/>
        <item x="1"/>
        <item x="13"/>
        <item x="20"/>
        <item x="39"/>
        <item x="53"/>
        <item x="30"/>
        <item x="8"/>
        <item x="59"/>
        <item x="16"/>
        <item x="6"/>
        <item x="55"/>
        <item x="50"/>
        <item x="34"/>
        <item t="default"/>
      </items>
    </pivotField>
  </pivotFields>
  <rowFields count="1">
    <field x="8"/>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Sum of TotalAm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FBAFC3-8680-4F43-AF0E-5EAFB98A2E24}" name="pvtCatego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E10" firstHeaderRow="1" firstDataRow="1" firstDataCol="1"/>
  <pivotFields count="9">
    <pivotField numFmtId="14" showAll="0"/>
    <pivotField showAll="0"/>
    <pivotField showAll="0"/>
    <pivotField axis="axisRow" showAll="0">
      <items count="7">
        <item x="0"/>
        <item x="2"/>
        <item x="5"/>
        <item x="1"/>
        <item x="4"/>
        <item x="3"/>
        <item t="default"/>
      </items>
    </pivotField>
    <pivotField showAll="0"/>
    <pivotField showAll="0"/>
    <pivotField dataField="1" showAll="0"/>
    <pivotField showAll="0"/>
    <pivotField showAll="0"/>
  </pivotFields>
  <rowFields count="1">
    <field x="3"/>
  </rowFields>
  <rowItems count="7">
    <i>
      <x/>
    </i>
    <i>
      <x v="1"/>
    </i>
    <i>
      <x v="2"/>
    </i>
    <i>
      <x v="3"/>
    </i>
    <i>
      <x v="4"/>
    </i>
    <i>
      <x v="5"/>
    </i>
    <i t="grand">
      <x/>
    </i>
  </rowItems>
  <colItems count="1">
    <i/>
  </colItems>
  <dataFields count="1">
    <dataField name="Sum of TotalAm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9526B0-8E4A-4591-8521-94A5F7BBDED3}" name="pvtTop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4" firstHeaderRow="1" firstDataRow="1" firstDataCol="1"/>
  <pivotFields count="9">
    <pivotField numFmtId="14" showAll="0"/>
    <pivotField showAll="0">
      <items count="141">
        <item x="56"/>
        <item x="111"/>
        <item x="9"/>
        <item x="6"/>
        <item x="128"/>
        <item x="68"/>
        <item x="4"/>
        <item x="89"/>
        <item x="18"/>
        <item x="23"/>
        <item x="76"/>
        <item x="122"/>
        <item x="114"/>
        <item x="72"/>
        <item x="8"/>
        <item x="101"/>
        <item x="63"/>
        <item x="57"/>
        <item x="58"/>
        <item x="15"/>
        <item x="135"/>
        <item x="41"/>
        <item x="39"/>
        <item x="37"/>
        <item x="121"/>
        <item x="17"/>
        <item x="117"/>
        <item x="16"/>
        <item x="61"/>
        <item x="48"/>
        <item x="51"/>
        <item x="112"/>
        <item x="60"/>
        <item x="64"/>
        <item x="116"/>
        <item x="107"/>
        <item x="34"/>
        <item x="104"/>
        <item x="120"/>
        <item x="83"/>
        <item x="52"/>
        <item x="11"/>
        <item x="136"/>
        <item x="132"/>
        <item x="95"/>
        <item x="5"/>
        <item x="86"/>
        <item x="134"/>
        <item x="70"/>
        <item x="36"/>
        <item x="131"/>
        <item x="14"/>
        <item x="31"/>
        <item x="62"/>
        <item x="102"/>
        <item x="126"/>
        <item x="103"/>
        <item x="119"/>
        <item x="90"/>
        <item x="79"/>
        <item x="42"/>
        <item x="69"/>
        <item x="65"/>
        <item x="96"/>
        <item x="49"/>
        <item x="118"/>
        <item x="87"/>
        <item x="1"/>
        <item x="54"/>
        <item x="13"/>
        <item x="44"/>
        <item x="33"/>
        <item x="110"/>
        <item x="24"/>
        <item x="66"/>
        <item x="55"/>
        <item x="59"/>
        <item x="27"/>
        <item x="137"/>
        <item x="100"/>
        <item x="81"/>
        <item x="133"/>
        <item x="47"/>
        <item x="74"/>
        <item x="67"/>
        <item x="97"/>
        <item x="40"/>
        <item x="7"/>
        <item x="91"/>
        <item x="108"/>
        <item x="10"/>
        <item x="98"/>
        <item x="25"/>
        <item x="46"/>
        <item x="35"/>
        <item x="88"/>
        <item x="80"/>
        <item x="94"/>
        <item x="138"/>
        <item x="12"/>
        <item x="139"/>
        <item x="30"/>
        <item x="21"/>
        <item x="43"/>
        <item x="78"/>
        <item x="75"/>
        <item x="85"/>
        <item x="105"/>
        <item x="45"/>
        <item x="38"/>
        <item x="2"/>
        <item x="28"/>
        <item x="29"/>
        <item x="53"/>
        <item x="129"/>
        <item x="93"/>
        <item x="109"/>
        <item x="130"/>
        <item x="106"/>
        <item x="73"/>
        <item x="22"/>
        <item x="19"/>
        <item x="3"/>
        <item x="0"/>
        <item x="113"/>
        <item x="115"/>
        <item x="71"/>
        <item x="20"/>
        <item x="32"/>
        <item x="82"/>
        <item x="125"/>
        <item x="124"/>
        <item x="123"/>
        <item x="127"/>
        <item x="26"/>
        <item x="84"/>
        <item x="77"/>
        <item x="99"/>
        <item x="92"/>
        <item x="50"/>
        <item t="default"/>
      </items>
    </pivotField>
    <pivotField axis="axisRow" showAll="0">
      <items count="51">
        <item x="20"/>
        <item x="46"/>
        <item x="34"/>
        <item x="19"/>
        <item x="49"/>
        <item x="26"/>
        <item x="10"/>
        <item x="32"/>
        <item x="5"/>
        <item x="44"/>
        <item x="13"/>
        <item x="6"/>
        <item x="0"/>
        <item x="41"/>
        <item x="47"/>
        <item x="38"/>
        <item x="24"/>
        <item x="15"/>
        <item x="43"/>
        <item x="27"/>
        <item x="7"/>
        <item x="8"/>
        <item x="33"/>
        <item x="22"/>
        <item x="40"/>
        <item x="25"/>
        <item x="1"/>
        <item x="30"/>
        <item x="31"/>
        <item x="48"/>
        <item x="23"/>
        <item x="29"/>
        <item x="2"/>
        <item x="11"/>
        <item x="16"/>
        <item x="36"/>
        <item x="14"/>
        <item x="21"/>
        <item x="18"/>
        <item x="17"/>
        <item x="39"/>
        <item x="4"/>
        <item x="37"/>
        <item x="12"/>
        <item x="28"/>
        <item x="3"/>
        <item x="35"/>
        <item x="42"/>
        <item x="9"/>
        <item x="45"/>
        <item t="default"/>
      </items>
    </pivotField>
    <pivotField showAll="0">
      <items count="7">
        <item x="0"/>
        <item x="2"/>
        <item x="5"/>
        <item x="1"/>
        <item x="4"/>
        <item x="3"/>
        <item t="default"/>
      </items>
    </pivotField>
    <pivotField showAll="0"/>
    <pivotField showAll="0"/>
    <pivotField dataField="1" showAll="0"/>
    <pivotField showAll="0">
      <items count="6">
        <item x="3"/>
        <item x="2"/>
        <item x="0"/>
        <item x="4"/>
        <item x="1"/>
        <item t="default"/>
      </items>
    </pivotField>
    <pivotField showAll="0"/>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Am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A28458-CF26-4679-9232-3727E638EA6F}" name="pvtTop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44" firstHeaderRow="1" firstDataRow="1" firstDataCol="1"/>
  <pivotFields count="9">
    <pivotField numFmtId="14" showAll="0"/>
    <pivotField axis="axisRow" showAll="0">
      <items count="141">
        <item x="56"/>
        <item x="111"/>
        <item x="9"/>
        <item x="6"/>
        <item x="128"/>
        <item x="68"/>
        <item x="4"/>
        <item x="89"/>
        <item x="18"/>
        <item x="23"/>
        <item x="76"/>
        <item x="122"/>
        <item x="114"/>
        <item x="72"/>
        <item x="8"/>
        <item x="101"/>
        <item x="63"/>
        <item x="57"/>
        <item x="58"/>
        <item x="15"/>
        <item x="135"/>
        <item x="41"/>
        <item x="39"/>
        <item x="37"/>
        <item x="121"/>
        <item x="17"/>
        <item x="117"/>
        <item x="16"/>
        <item x="61"/>
        <item x="48"/>
        <item x="51"/>
        <item x="112"/>
        <item x="60"/>
        <item x="64"/>
        <item x="116"/>
        <item x="107"/>
        <item x="34"/>
        <item x="104"/>
        <item x="120"/>
        <item x="83"/>
        <item x="52"/>
        <item x="11"/>
        <item x="136"/>
        <item x="132"/>
        <item x="95"/>
        <item x="5"/>
        <item x="86"/>
        <item x="134"/>
        <item x="70"/>
        <item x="36"/>
        <item x="131"/>
        <item x="14"/>
        <item x="31"/>
        <item x="62"/>
        <item x="102"/>
        <item x="126"/>
        <item x="103"/>
        <item x="119"/>
        <item x="90"/>
        <item x="79"/>
        <item x="42"/>
        <item x="69"/>
        <item x="65"/>
        <item x="96"/>
        <item x="49"/>
        <item x="118"/>
        <item x="87"/>
        <item x="1"/>
        <item x="54"/>
        <item x="13"/>
        <item x="44"/>
        <item x="33"/>
        <item x="110"/>
        <item x="24"/>
        <item x="66"/>
        <item x="55"/>
        <item x="59"/>
        <item x="27"/>
        <item x="137"/>
        <item x="100"/>
        <item x="81"/>
        <item x="133"/>
        <item x="47"/>
        <item x="74"/>
        <item x="67"/>
        <item x="97"/>
        <item x="40"/>
        <item x="7"/>
        <item x="91"/>
        <item x="108"/>
        <item x="10"/>
        <item x="98"/>
        <item x="25"/>
        <item x="46"/>
        <item x="35"/>
        <item x="88"/>
        <item x="80"/>
        <item x="94"/>
        <item x="138"/>
        <item x="12"/>
        <item x="139"/>
        <item x="30"/>
        <item x="21"/>
        <item x="43"/>
        <item x="78"/>
        <item x="75"/>
        <item x="85"/>
        <item x="105"/>
        <item x="45"/>
        <item x="38"/>
        <item x="2"/>
        <item x="28"/>
        <item x="29"/>
        <item x="53"/>
        <item x="129"/>
        <item x="93"/>
        <item x="109"/>
        <item x="130"/>
        <item x="106"/>
        <item x="73"/>
        <item x="22"/>
        <item x="19"/>
        <item x="3"/>
        <item x="0"/>
        <item x="113"/>
        <item x="115"/>
        <item x="71"/>
        <item x="20"/>
        <item x="32"/>
        <item x="82"/>
        <item x="125"/>
        <item x="124"/>
        <item x="123"/>
        <item x="127"/>
        <item x="26"/>
        <item x="84"/>
        <item x="77"/>
        <item x="99"/>
        <item x="92"/>
        <item x="50"/>
        <item t="default"/>
      </items>
    </pivotField>
    <pivotField showAll="0"/>
    <pivotField showAll="0"/>
    <pivotField showAll="0"/>
    <pivotField showAll="0"/>
    <pivotField dataField="1" showAll="0"/>
    <pivotField showAll="0"/>
    <pivotField showAll="0"/>
  </pivotFields>
  <rowFields count="1">
    <field x="1"/>
  </rowFields>
  <rowItems count="1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t="grand">
      <x/>
    </i>
  </rowItems>
  <colItems count="1">
    <i/>
  </colItems>
  <dataFields count="1">
    <dataField name="Sum of Total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735DB6-B560-4A91-9D63-BDEF9EEAB6D9}" name="DetailReport" cacheId="6"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4:C15" firstHeaderRow="1" firstDataRow="1" firstDataCol="2" rowPageCount="1" colPageCount="1"/>
  <pivotFields count="8">
    <pivotField axis="axisRow" compact="0" numFmtId="14" outline="0" showAll="0">
      <items count="237">
        <item x="65"/>
        <item x="120"/>
        <item x="58"/>
        <item x="34"/>
        <item x="78"/>
        <item x="140"/>
        <item x="121"/>
        <item x="14"/>
        <item x="72"/>
        <item x="181"/>
        <item x="153"/>
        <item x="9"/>
        <item x="19"/>
        <item x="142"/>
        <item x="94"/>
        <item x="60"/>
        <item x="115"/>
        <item x="47"/>
        <item x="143"/>
        <item x="95"/>
        <item x="79"/>
        <item x="169"/>
        <item x="113"/>
        <item x="138"/>
        <item x="66"/>
        <item x="35"/>
        <item x="97"/>
        <item x="30"/>
        <item x="134"/>
        <item x="105"/>
        <item x="64"/>
        <item x="224"/>
        <item x="12"/>
        <item x="109"/>
        <item x="23"/>
        <item x="135"/>
        <item x="116"/>
        <item x="27"/>
        <item x="62"/>
        <item x="131"/>
        <item x="168"/>
        <item x="165"/>
        <item x="91"/>
        <item x="149"/>
        <item x="133"/>
        <item x="235"/>
        <item x="99"/>
        <item x="32"/>
        <item x="10"/>
        <item x="39"/>
        <item x="183"/>
        <item x="117"/>
        <item x="148"/>
        <item x="76"/>
        <item x="41"/>
        <item x="122"/>
        <item x="190"/>
        <item x="188"/>
        <item x="198"/>
        <item x="50"/>
        <item x="179"/>
        <item x="69"/>
        <item x="86"/>
        <item x="196"/>
        <item x="130"/>
        <item x="63"/>
        <item x="159"/>
        <item x="215"/>
        <item x="214"/>
        <item x="160"/>
        <item x="200"/>
        <item x="57"/>
        <item x="125"/>
        <item x="223"/>
        <item x="227"/>
        <item x="197"/>
        <item x="154"/>
        <item x="49"/>
        <item x="44"/>
        <item x="90"/>
        <item x="220"/>
        <item x="107"/>
        <item x="155"/>
        <item x="92"/>
        <item x="177"/>
        <item x="36"/>
        <item x="185"/>
        <item x="114"/>
        <item x="164"/>
        <item x="22"/>
        <item x="77"/>
        <item x="67"/>
        <item x="144"/>
        <item x="112"/>
        <item x="167"/>
        <item x="201"/>
        <item x="152"/>
        <item x="26"/>
        <item x="98"/>
        <item x="53"/>
        <item x="59"/>
        <item x="37"/>
        <item x="2"/>
        <item x="176"/>
        <item x="166"/>
        <item x="17"/>
        <item x="110"/>
        <item x="172"/>
        <item x="70"/>
        <item x="145"/>
        <item x="29"/>
        <item x="48"/>
        <item x="157"/>
        <item x="216"/>
        <item x="45"/>
        <item x="96"/>
        <item x="199"/>
        <item x="103"/>
        <item x="139"/>
        <item x="180"/>
        <item x="84"/>
        <item x="83"/>
        <item x="162"/>
        <item x="170"/>
        <item x="7"/>
        <item x="141"/>
        <item x="146"/>
        <item x="189"/>
        <item x="118"/>
        <item x="147"/>
        <item x="111"/>
        <item x="40"/>
        <item x="127"/>
        <item x="5"/>
        <item x="80"/>
        <item x="194"/>
        <item x="16"/>
        <item x="0"/>
        <item x="87"/>
        <item x="4"/>
        <item x="233"/>
        <item x="124"/>
        <item x="55"/>
        <item x="128"/>
        <item x="119"/>
        <item x="191"/>
        <item x="31"/>
        <item x="187"/>
        <item x="28"/>
        <item x="11"/>
        <item x="163"/>
        <item x="210"/>
        <item x="209"/>
        <item x="231"/>
        <item x="226"/>
        <item x="178"/>
        <item x="193"/>
        <item x="52"/>
        <item x="102"/>
        <item x="218"/>
        <item x="3"/>
        <item x="61"/>
        <item x="213"/>
        <item x="21"/>
        <item x="33"/>
        <item x="204"/>
        <item x="71"/>
        <item x="123"/>
        <item x="68"/>
        <item x="207"/>
        <item x="219"/>
        <item x="73"/>
        <item x="15"/>
        <item x="228"/>
        <item x="212"/>
        <item x="211"/>
        <item x="82"/>
        <item x="85"/>
        <item x="184"/>
        <item x="222"/>
        <item x="25"/>
        <item x="75"/>
        <item x="1"/>
        <item x="74"/>
        <item x="221"/>
        <item x="13"/>
        <item x="173"/>
        <item x="100"/>
        <item x="126"/>
        <item x="208"/>
        <item x="43"/>
        <item x="89"/>
        <item x="56"/>
        <item x="137"/>
        <item x="24"/>
        <item x="234"/>
        <item x="129"/>
        <item x="54"/>
        <item x="206"/>
        <item x="156"/>
        <item x="171"/>
        <item x="93"/>
        <item x="38"/>
        <item x="81"/>
        <item x="51"/>
        <item x="150"/>
        <item x="175"/>
        <item x="230"/>
        <item x="8"/>
        <item x="202"/>
        <item x="205"/>
        <item x="186"/>
        <item x="20"/>
        <item x="18"/>
        <item x="229"/>
        <item x="132"/>
        <item x="225"/>
        <item x="42"/>
        <item x="174"/>
        <item x="232"/>
        <item x="192"/>
        <item x="6"/>
        <item x="104"/>
        <item x="106"/>
        <item x="101"/>
        <item x="151"/>
        <item x="182"/>
        <item x="158"/>
        <item x="217"/>
        <item x="108"/>
        <item x="161"/>
        <item x="88"/>
        <item x="136"/>
        <item x="46"/>
        <item x="195"/>
        <item x="203"/>
        <item t="default"/>
      </items>
    </pivotField>
    <pivotField compact="0" outline="0" showAll="0"/>
    <pivotField axis="axisRow" compact="0" outline="0" showAll="0" defaultSubtotal="0">
      <items count="51">
        <item x="20"/>
        <item sd="0" x="46"/>
        <item x="34"/>
        <item x="19"/>
        <item x="49"/>
        <item x="26"/>
        <item x="10"/>
        <item x="32"/>
        <item x="5"/>
        <item x="44"/>
        <item x="13"/>
        <item sd="0" x="6"/>
        <item x="0"/>
        <item x="41"/>
        <item x="47"/>
        <item x="38"/>
        <item x="24"/>
        <item x="15"/>
        <item x="43"/>
        <item x="27"/>
        <item x="7"/>
        <item x="8"/>
        <item x="33"/>
        <item x="22"/>
        <item x="40"/>
        <item x="25"/>
        <item x="1"/>
        <item x="30"/>
        <item x="31"/>
        <item x="48"/>
        <item x="23"/>
        <item x="29"/>
        <item x="2"/>
        <item x="11"/>
        <item x="16"/>
        <item x="36"/>
        <item x="14"/>
        <item x="21"/>
        <item x="18"/>
        <item x="17"/>
        <item x="39"/>
        <item x="4"/>
        <item x="37"/>
        <item x="12"/>
        <item x="28"/>
        <item x="3"/>
        <item x="35"/>
        <item sd="0" x="42"/>
        <item x="9"/>
        <item x="45"/>
        <item t="default"/>
      </items>
    </pivotField>
    <pivotField compact="0" outline="0" showAll="0"/>
    <pivotField compact="0" outline="0" showAll="0"/>
    <pivotField compact="0" outline="0" showAll="0"/>
    <pivotField dataField="1" compact="0" outline="0" showAll="0"/>
    <pivotField axis="axisPage" compact="0" outline="0" showAll="0">
      <items count="6">
        <item x="3"/>
        <item h="1" x="2"/>
        <item h="1" x="0"/>
        <item h="1" x="4"/>
        <item h="1" x="1"/>
        <item t="default"/>
      </items>
    </pivotField>
  </pivotFields>
  <rowFields count="2">
    <field x="2"/>
    <field x="0"/>
  </rowFields>
  <rowItems count="11">
    <i>
      <x v="2"/>
      <x v="84"/>
    </i>
    <i>
      <x v="6"/>
      <x v="48"/>
    </i>
    <i>
      <x v="10"/>
      <x v="74"/>
    </i>
    <i>
      <x v="11"/>
    </i>
    <i>
      <x v="12"/>
      <x v="111"/>
    </i>
    <i>
      <x v="20"/>
      <x v="143"/>
    </i>
    <i>
      <x v="25"/>
      <x v="111"/>
    </i>
    <i>
      <x v="31"/>
      <x v="53"/>
    </i>
    <i>
      <x v="33"/>
      <x v="149"/>
    </i>
    <i>
      <x v="37"/>
      <x v="58"/>
    </i>
    <i>
      <x v="39"/>
      <x v="163"/>
    </i>
  </rowItems>
  <colItems count="1">
    <i/>
  </colItems>
  <pageFields count="1">
    <pageField fld="7" hier="-1"/>
  </pageFields>
  <dataFields count="1">
    <dataField name="Total Sales"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064BA7-99AE-437C-8B96-D8D8E6CC28D4}" autoFormatId="16" applyNumberFormats="0" applyBorderFormats="0" applyFontFormats="0" applyPatternFormats="0" applyAlignmentFormats="0" applyWidthHeightFormats="0">
  <queryTableRefresh nextId="10" unboundColumnsRight="1">
    <queryTableFields count="9">
      <queryTableField id="1" name="OrderDate" tableColumnId="1"/>
      <queryTableField id="2" name="CustomerName" tableColumnId="2"/>
      <queryTableField id="3" name="ProductName" tableColumnId="3"/>
      <queryTableField id="4" name="Category" tableColumnId="4"/>
      <queryTableField id="5" name="Quantity" tableColumnId="5"/>
      <queryTableField id="6" name="UnitPrice" tableColumnId="6"/>
      <queryTableField id="7" name="TotalAmount" tableColumnId="7"/>
      <queryTableField id="8" name="Country"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1B9D0A-093E-4094-B96A-9DDD72F8D2AD}" sourceName="Category">
  <pivotTables>
    <pivotTable tabId="17" name="pvtTopProducts"/>
  </pivotTables>
  <data>
    <tabular pivotCacheId="362445011">
      <items count="6">
        <i x="0" s="1"/>
        <i x="2" s="1"/>
        <i x="5"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09F5F0C-5BFC-496A-BDBF-F76DE588FBE1}" sourceName="Country">
  <pivotTables>
    <pivotTable tabId="17" name="pvtTopProducts"/>
  </pivotTables>
  <data>
    <tabular pivotCacheId="362445011">
      <items count="5">
        <i x="3" s="1"/>
        <i x="2" s="1"/>
        <i x="0"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3EB2909F-2C44-455B-AB56-4851C81DE764}" sourceName="CustomerName">
  <pivotTables>
    <pivotTable tabId="17" name="pvtTopProducts"/>
  </pivotTables>
  <data>
    <tabular pivotCacheId="362445011">
      <items count="140">
        <i x="56" s="1"/>
        <i x="111" s="1"/>
        <i x="9" s="1"/>
        <i x="6" s="1"/>
        <i x="128" s="1"/>
        <i x="68" s="1"/>
        <i x="4" s="1"/>
        <i x="89" s="1"/>
        <i x="18" s="1"/>
        <i x="23" s="1"/>
        <i x="76" s="1"/>
        <i x="122" s="1"/>
        <i x="114" s="1"/>
        <i x="72" s="1"/>
        <i x="8" s="1"/>
        <i x="101" s="1"/>
        <i x="63" s="1"/>
        <i x="57" s="1"/>
        <i x="58" s="1"/>
        <i x="15" s="1"/>
        <i x="135" s="1"/>
        <i x="41" s="1"/>
        <i x="39" s="1"/>
        <i x="37" s="1"/>
        <i x="121" s="1"/>
        <i x="17" s="1"/>
        <i x="117" s="1"/>
        <i x="16" s="1"/>
        <i x="61" s="1"/>
        <i x="48" s="1"/>
        <i x="51" s="1"/>
        <i x="112" s="1"/>
        <i x="60" s="1"/>
        <i x="64" s="1"/>
        <i x="116" s="1"/>
        <i x="107" s="1"/>
        <i x="34" s="1"/>
        <i x="104" s="1"/>
        <i x="120" s="1"/>
        <i x="83" s="1"/>
        <i x="52" s="1"/>
        <i x="11" s="1"/>
        <i x="136" s="1"/>
        <i x="132" s="1"/>
        <i x="95" s="1"/>
        <i x="5" s="1"/>
        <i x="86" s="1"/>
        <i x="134" s="1"/>
        <i x="70" s="1"/>
        <i x="36" s="1"/>
        <i x="131" s="1"/>
        <i x="14" s="1"/>
        <i x="31" s="1"/>
        <i x="62" s="1"/>
        <i x="102" s="1"/>
        <i x="126" s="1"/>
        <i x="103" s="1"/>
        <i x="119" s="1"/>
        <i x="90" s="1"/>
        <i x="79" s="1"/>
        <i x="42" s="1"/>
        <i x="69" s="1"/>
        <i x="65" s="1"/>
        <i x="96" s="1"/>
        <i x="49" s="1"/>
        <i x="118" s="1"/>
        <i x="87" s="1"/>
        <i x="1" s="1"/>
        <i x="54" s="1"/>
        <i x="13" s="1"/>
        <i x="44" s="1"/>
        <i x="33" s="1"/>
        <i x="110" s="1"/>
        <i x="24" s="1"/>
        <i x="66" s="1"/>
        <i x="55" s="1"/>
        <i x="59" s="1"/>
        <i x="27" s="1"/>
        <i x="137" s="1"/>
        <i x="100" s="1"/>
        <i x="81" s="1"/>
        <i x="133" s="1"/>
        <i x="47" s="1"/>
        <i x="74" s="1"/>
        <i x="67" s="1"/>
        <i x="97" s="1"/>
        <i x="40" s="1"/>
        <i x="7" s="1"/>
        <i x="91" s="1"/>
        <i x="108" s="1"/>
        <i x="10" s="1"/>
        <i x="98" s="1"/>
        <i x="25" s="1"/>
        <i x="46" s="1"/>
        <i x="35" s="1"/>
        <i x="88" s="1"/>
        <i x="80" s="1"/>
        <i x="94" s="1"/>
        <i x="138" s="1"/>
        <i x="12" s="1"/>
        <i x="139" s="1"/>
        <i x="30" s="1"/>
        <i x="21" s="1"/>
        <i x="43" s="1"/>
        <i x="78" s="1"/>
        <i x="75" s="1"/>
        <i x="85" s="1"/>
        <i x="105" s="1"/>
        <i x="45" s="1"/>
        <i x="38" s="1"/>
        <i x="2" s="1"/>
        <i x="28" s="1"/>
        <i x="29" s="1"/>
        <i x="53" s="1"/>
        <i x="129" s="1"/>
        <i x="93" s="1"/>
        <i x="109" s="1"/>
        <i x="130" s="1"/>
        <i x="106" s="1"/>
        <i x="73" s="1"/>
        <i x="22" s="1"/>
        <i x="19" s="1"/>
        <i x="3" s="1"/>
        <i x="0" s="1"/>
        <i x="113" s="1"/>
        <i x="115" s="1"/>
        <i x="71" s="1"/>
        <i x="20" s="1"/>
        <i x="32" s="1"/>
        <i x="82" s="1"/>
        <i x="125" s="1"/>
        <i x="124" s="1"/>
        <i x="123" s="1"/>
        <i x="127" s="1"/>
        <i x="26" s="1"/>
        <i x="84" s="1"/>
        <i x="77" s="1"/>
        <i x="99" s="1"/>
        <i x="92" s="1"/>
        <i x="5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Category" xr10:uid="{1A557A85-5476-42E6-8DAB-3BEBC19FF22C}" cache="Slicer_Category" caption="Category" rowHeight="247650"/>
  <slicer name="slicerCountry" xr10:uid="{79C290C8-BD51-492E-B81E-85526500E176}" cache="Slicer_Country" caption="Country" rowHeight="247650"/>
  <slicer name="slicerCustomer" xr10:uid="{0F5025BA-0223-45FF-B44E-ED93606B577F}" cache="Slicer_CustomerName" caption="CustomerNam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9E16AC-9ADC-4120-B332-BB5CDD4B0EBD}" name="tblSales" displayName="tblSales" ref="A1:I251" tableType="queryTable" totalsRowShown="0">
  <autoFilter ref="A1:I251" xr:uid="{269E16AC-9ADC-4120-B332-BB5CDD4B0EBD}"/>
  <tableColumns count="9">
    <tableColumn id="1" xr3:uid="{0D575A4B-2423-4357-A747-E38ECEC42B88}" uniqueName="1" name="OrderDate" queryTableFieldId="1" dataDxfId="5"/>
    <tableColumn id="2" xr3:uid="{BD407E8A-7C36-4F4B-B6C3-DA095DDBD3DF}" uniqueName="2" name="CustomerName" queryTableFieldId="2" dataDxfId="4"/>
    <tableColumn id="3" xr3:uid="{D9A02E02-ED8C-4B67-9104-8677C2D7390C}" uniqueName="3" name="ProductName" queryTableFieldId="3" dataDxfId="3"/>
    <tableColumn id="4" xr3:uid="{4307E137-BB32-484B-AA19-11DC2A4FC7D4}" uniqueName="4" name="Category" queryTableFieldId="4" dataDxfId="2"/>
    <tableColumn id="5" xr3:uid="{63A77608-3CE0-4D66-9724-89D12A289F02}" uniqueName="5" name="Quantity" queryTableFieldId="5"/>
    <tableColumn id="6" xr3:uid="{542E9DD5-429F-42AC-8E99-0131ADB59720}" uniqueName="6" name="UnitPrice" queryTableFieldId="6"/>
    <tableColumn id="7" xr3:uid="{1FCEAA2E-E897-4354-B986-4D721ED78E30}" uniqueName="7" name="TotalAmount" queryTableFieldId="7"/>
    <tableColumn id="8" xr3:uid="{B28738F7-9148-4F48-98F4-7543796ABF36}" uniqueName="8" name="Country" queryTableFieldId="8" dataDxfId="1"/>
    <tableColumn id="9" xr3:uid="{86A44E53-6F97-4F6E-9602-F3C83741264F}" uniqueName="9" name="Month" queryTableFieldId="9" dataDxfId="0">
      <calculatedColumnFormula>TEXT(tblSales[[#This Row],[OrderDate]],"yyyy-mm")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AF4BFC6-DA01-4C98-9DBA-520D02A36628}">
  <we:reference id="wa200009404" version="1.0.0.8" store="en-US" storeType="OMEX"/>
  <we:alternateReferences>
    <we:reference id="WA200009404" version="1.0.0.8" store="" storeType="OMEX"/>
  </we:alternateReferences>
  <we:properties>
    <we:property name="claude.fileId" value="&quot;a8953d63-7cf2-4eb1-8a94-9cb395ca175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92CCA-C771-4620-B299-EB616B89B007}">
  <dimension ref="A1:I251"/>
  <sheetViews>
    <sheetView tabSelected="1" topLeftCell="A221" workbookViewId="0">
      <selection activeCell="B27" sqref="B27"/>
    </sheetView>
  </sheetViews>
  <sheetFormatPr defaultRowHeight="14.4" x14ac:dyDescent="0.3"/>
  <cols>
    <col min="1" max="1" width="11.88671875" bestFit="1" customWidth="1"/>
    <col min="2" max="2" width="16.44140625" bestFit="1" customWidth="1"/>
    <col min="3" max="3" width="25.44140625" bestFit="1" customWidth="1"/>
    <col min="4" max="4" width="15.5546875" bestFit="1" customWidth="1"/>
    <col min="5" max="5" width="10.33203125" bestFit="1" customWidth="1"/>
    <col min="6" max="6" width="12" bestFit="1" customWidth="1"/>
    <col min="7" max="7" width="13.77734375" bestFit="1" customWidth="1"/>
    <col min="8" max="8" width="13.5546875" bestFit="1" customWidth="1"/>
  </cols>
  <sheetData>
    <row r="1" spans="1:9" x14ac:dyDescent="0.3">
      <c r="A1" t="s">
        <v>0</v>
      </c>
      <c r="B1" t="s">
        <v>1</v>
      </c>
      <c r="C1" t="s">
        <v>2</v>
      </c>
      <c r="D1" t="s">
        <v>3</v>
      </c>
      <c r="E1" t="s">
        <v>4</v>
      </c>
      <c r="F1" t="s">
        <v>5</v>
      </c>
      <c r="G1" t="s">
        <v>6</v>
      </c>
      <c r="H1" t="s">
        <v>7</v>
      </c>
      <c r="I1" t="s">
        <v>212</v>
      </c>
    </row>
    <row r="2" spans="1:9" x14ac:dyDescent="0.3">
      <c r="A2" s="1">
        <v>44957</v>
      </c>
      <c r="B2" t="s">
        <v>8</v>
      </c>
      <c r="C2" t="s">
        <v>9</v>
      </c>
      <c r="D2" t="s">
        <v>10</v>
      </c>
      <c r="E2">
        <v>3</v>
      </c>
      <c r="F2">
        <v>106.58999633789063</v>
      </c>
      <c r="G2">
        <v>319.8599853515625</v>
      </c>
      <c r="H2" t="s">
        <v>11</v>
      </c>
      <c r="I2" t="str">
        <f>TEXT(tblSales[[#This Row],[OrderDate]],"yyyy-mm")</f>
        <v>2023-01</v>
      </c>
    </row>
    <row r="3" spans="1:9" x14ac:dyDescent="0.3">
      <c r="A3" s="1">
        <v>45290</v>
      </c>
      <c r="B3" t="s">
        <v>12</v>
      </c>
      <c r="C3" t="s">
        <v>13</v>
      </c>
      <c r="D3" t="s">
        <v>14</v>
      </c>
      <c r="E3">
        <v>1</v>
      </c>
      <c r="F3">
        <v>251.3699951171875</v>
      </c>
      <c r="G3">
        <v>259.6400146484375</v>
      </c>
      <c r="H3" t="s">
        <v>15</v>
      </c>
      <c r="I3" t="str">
        <f>TEXT(tblSales[[#This Row],[OrderDate]],"yyyy-mm")</f>
        <v>2023-12</v>
      </c>
    </row>
    <row r="4" spans="1:9" x14ac:dyDescent="0.3">
      <c r="A4" s="1">
        <v>44691</v>
      </c>
      <c r="B4" t="s">
        <v>16</v>
      </c>
      <c r="C4" t="s">
        <v>17</v>
      </c>
      <c r="D4" t="s">
        <v>18</v>
      </c>
      <c r="E4">
        <v>3</v>
      </c>
      <c r="F4">
        <v>35.029998779296875</v>
      </c>
      <c r="G4">
        <v>108.05999755859375</v>
      </c>
      <c r="H4" t="s">
        <v>15</v>
      </c>
      <c r="I4" t="str">
        <f>TEXT(tblSales[[#This Row],[OrderDate]],"yyyy-mm")</f>
        <v>2022-05</v>
      </c>
    </row>
    <row r="5" spans="1:9" x14ac:dyDescent="0.3">
      <c r="A5" s="1">
        <v>45125</v>
      </c>
      <c r="B5" t="s">
        <v>19</v>
      </c>
      <c r="C5" t="s">
        <v>20</v>
      </c>
      <c r="D5" t="s">
        <v>14</v>
      </c>
      <c r="E5">
        <v>5</v>
      </c>
      <c r="F5">
        <v>33.580001831054688</v>
      </c>
      <c r="G5">
        <v>159.66000366210938</v>
      </c>
      <c r="H5" t="s">
        <v>11</v>
      </c>
      <c r="I5" t="str">
        <f>TEXT(tblSales[[#This Row],[OrderDate]],"yyyy-mm")</f>
        <v>2023-07</v>
      </c>
    </row>
    <row r="6" spans="1:9" x14ac:dyDescent="0.3">
      <c r="A6" s="1">
        <v>44961</v>
      </c>
      <c r="B6" t="s">
        <v>21</v>
      </c>
      <c r="C6" t="s">
        <v>22</v>
      </c>
      <c r="D6" t="s">
        <v>18</v>
      </c>
      <c r="E6">
        <v>2</v>
      </c>
      <c r="F6">
        <v>515.6400146484375</v>
      </c>
      <c r="G6">
        <v>821.3599853515625</v>
      </c>
      <c r="H6" t="s">
        <v>23</v>
      </c>
      <c r="I6" t="str">
        <f>TEXT(tblSales[[#This Row],[OrderDate]],"yyyy-mm")</f>
        <v>2023-02</v>
      </c>
    </row>
    <row r="7" spans="1:9" x14ac:dyDescent="0.3">
      <c r="A7" s="1">
        <v>44926</v>
      </c>
      <c r="B7" t="s">
        <v>24</v>
      </c>
      <c r="C7" t="s">
        <v>25</v>
      </c>
      <c r="D7" t="s">
        <v>10</v>
      </c>
      <c r="E7">
        <v>4</v>
      </c>
      <c r="F7">
        <v>449.73001098632813</v>
      </c>
      <c r="G7">
        <v>2017.530029296875</v>
      </c>
      <c r="H7" t="s">
        <v>15</v>
      </c>
      <c r="I7" t="str">
        <f>TEXT(tblSales[[#This Row],[OrderDate]],"yyyy-mm")</f>
        <v>2022-12</v>
      </c>
    </row>
    <row r="8" spans="1:9" x14ac:dyDescent="0.3">
      <c r="A8" s="1">
        <v>45555</v>
      </c>
      <c r="B8" t="s">
        <v>26</v>
      </c>
      <c r="C8" t="s">
        <v>27</v>
      </c>
      <c r="D8" t="s">
        <v>18</v>
      </c>
      <c r="E8">
        <v>2</v>
      </c>
      <c r="F8">
        <v>219.80999755859375</v>
      </c>
      <c r="G8">
        <v>394.80999755859375</v>
      </c>
      <c r="H8" t="s">
        <v>28</v>
      </c>
      <c r="I8" t="str">
        <f>TEXT(tblSales[[#This Row],[OrderDate]],"yyyy-mm")</f>
        <v>2024-09</v>
      </c>
    </row>
    <row r="9" spans="1:9" x14ac:dyDescent="0.3">
      <c r="A9" s="1">
        <v>44875</v>
      </c>
      <c r="B9" t="s">
        <v>29</v>
      </c>
      <c r="C9" t="s">
        <v>30</v>
      </c>
      <c r="D9" t="s">
        <v>31</v>
      </c>
      <c r="E9">
        <v>2</v>
      </c>
      <c r="F9">
        <v>306.510009765625</v>
      </c>
      <c r="G9">
        <v>617.72998046875</v>
      </c>
      <c r="H9" t="s">
        <v>11</v>
      </c>
      <c r="I9" t="str">
        <f>TEXT(tblSales[[#This Row],[OrderDate]],"yyyy-mm")</f>
        <v>2022-11</v>
      </c>
    </row>
    <row r="10" spans="1:9" x14ac:dyDescent="0.3">
      <c r="A10" s="1">
        <v>45469</v>
      </c>
      <c r="B10" t="s">
        <v>32</v>
      </c>
      <c r="C10" t="s">
        <v>33</v>
      </c>
      <c r="D10" t="s">
        <v>34</v>
      </c>
      <c r="E10">
        <v>4</v>
      </c>
      <c r="F10">
        <v>146.08999633789063</v>
      </c>
      <c r="G10">
        <v>638.1400146484375</v>
      </c>
      <c r="H10" t="s">
        <v>15</v>
      </c>
      <c r="I10" t="str">
        <f>TEXT(tblSales[[#This Row],[OrderDate]],"yyyy-mm")</f>
        <v>2024-06</v>
      </c>
    </row>
    <row r="11" spans="1:9" x14ac:dyDescent="0.3">
      <c r="A11" s="1">
        <v>43952</v>
      </c>
      <c r="B11" t="s">
        <v>35</v>
      </c>
      <c r="C11" t="s">
        <v>36</v>
      </c>
      <c r="D11" t="s">
        <v>18</v>
      </c>
      <c r="E11">
        <v>2</v>
      </c>
      <c r="F11">
        <v>278.20999145507813</v>
      </c>
      <c r="G11">
        <v>565.75</v>
      </c>
      <c r="H11" t="s">
        <v>15</v>
      </c>
      <c r="I11" t="str">
        <f>TEXT(tblSales[[#This Row],[OrderDate]],"yyyy-mm")</f>
        <v>2020-05</v>
      </c>
    </row>
    <row r="12" spans="1:9" x14ac:dyDescent="0.3">
      <c r="A12" s="1">
        <v>44297</v>
      </c>
      <c r="B12" t="s">
        <v>37</v>
      </c>
      <c r="C12" t="s">
        <v>38</v>
      </c>
      <c r="D12" t="s">
        <v>10</v>
      </c>
      <c r="E12">
        <v>1</v>
      </c>
      <c r="F12">
        <v>141.41999816894531</v>
      </c>
      <c r="G12">
        <v>150.77000427246094</v>
      </c>
      <c r="H12" t="s">
        <v>28</v>
      </c>
      <c r="I12" t="str">
        <f>TEXT(tblSales[[#This Row],[OrderDate]],"yyyy-mm")</f>
        <v>2021-04</v>
      </c>
    </row>
    <row r="13" spans="1:9" x14ac:dyDescent="0.3">
      <c r="A13" s="1">
        <v>45069</v>
      </c>
      <c r="B13" t="s">
        <v>39</v>
      </c>
      <c r="C13" t="s">
        <v>40</v>
      </c>
      <c r="D13" t="s">
        <v>14</v>
      </c>
      <c r="E13">
        <v>5</v>
      </c>
      <c r="F13">
        <v>346.55999755859375</v>
      </c>
      <c r="G13">
        <v>1791.22998046875</v>
      </c>
      <c r="H13" t="s">
        <v>28</v>
      </c>
      <c r="I13" t="str">
        <f>TEXT(tblSales[[#This Row],[OrderDate]],"yyyy-mm")</f>
        <v>2023-05</v>
      </c>
    </row>
    <row r="14" spans="1:9" x14ac:dyDescent="0.3">
      <c r="A14" s="1">
        <v>44161</v>
      </c>
      <c r="B14" t="s">
        <v>41</v>
      </c>
      <c r="C14" t="s">
        <v>42</v>
      </c>
      <c r="D14" t="s">
        <v>14</v>
      </c>
      <c r="E14">
        <v>4</v>
      </c>
      <c r="F14">
        <v>496.760009765625</v>
      </c>
      <c r="G14">
        <v>1986.5</v>
      </c>
      <c r="H14" t="s">
        <v>15</v>
      </c>
      <c r="I14" t="str">
        <f>TEXT(tblSales[[#This Row],[OrderDate]],"yyyy-mm")</f>
        <v>2020-11</v>
      </c>
    </row>
    <row r="15" spans="1:9" x14ac:dyDescent="0.3">
      <c r="A15" s="1">
        <v>45313</v>
      </c>
      <c r="B15" t="s">
        <v>43</v>
      </c>
      <c r="C15" t="s">
        <v>13</v>
      </c>
      <c r="D15" t="s">
        <v>14</v>
      </c>
      <c r="E15">
        <v>3</v>
      </c>
      <c r="F15">
        <v>523.27001953125</v>
      </c>
      <c r="G15">
        <v>1766.22998046875</v>
      </c>
      <c r="H15" t="s">
        <v>15</v>
      </c>
      <c r="I15" t="str">
        <f>TEXT(tblSales[[#This Row],[OrderDate]],"yyyy-mm")</f>
        <v>2024-01</v>
      </c>
    </row>
    <row r="16" spans="1:9" x14ac:dyDescent="0.3">
      <c r="A16" s="1">
        <v>43918</v>
      </c>
      <c r="B16" t="s">
        <v>44</v>
      </c>
      <c r="C16" t="s">
        <v>45</v>
      </c>
      <c r="D16" t="s">
        <v>10</v>
      </c>
      <c r="E16">
        <v>4</v>
      </c>
      <c r="F16">
        <v>291.3699951171875</v>
      </c>
      <c r="G16">
        <v>1103.1400146484375</v>
      </c>
      <c r="H16" t="s">
        <v>15</v>
      </c>
      <c r="I16" t="str">
        <f>TEXT(tblSales[[#This Row],[OrderDate]],"yyyy-mm")</f>
        <v>2020-03</v>
      </c>
    </row>
    <row r="17" spans="1:9" x14ac:dyDescent="0.3">
      <c r="A17" s="1">
        <v>45227</v>
      </c>
      <c r="B17" t="s">
        <v>46</v>
      </c>
      <c r="C17" t="s">
        <v>30</v>
      </c>
      <c r="D17" t="s">
        <v>34</v>
      </c>
      <c r="E17">
        <v>4</v>
      </c>
      <c r="F17">
        <v>533.1199951171875</v>
      </c>
      <c r="G17">
        <v>1681.9100341796875</v>
      </c>
      <c r="H17" t="s">
        <v>15</v>
      </c>
      <c r="I17" t="str">
        <f>TEXT(tblSales[[#This Row],[OrderDate]],"yyyy-mm")</f>
        <v>2023-10</v>
      </c>
    </row>
    <row r="18" spans="1:9" x14ac:dyDescent="0.3">
      <c r="A18" s="1">
        <v>44954</v>
      </c>
      <c r="B18" t="s">
        <v>47</v>
      </c>
      <c r="C18" t="s">
        <v>48</v>
      </c>
      <c r="D18" t="s">
        <v>14</v>
      </c>
      <c r="E18">
        <v>4</v>
      </c>
      <c r="F18">
        <v>453.47000122070313</v>
      </c>
      <c r="G18">
        <v>1636.8800048828125</v>
      </c>
      <c r="H18" t="s">
        <v>15</v>
      </c>
      <c r="I18" t="str">
        <f>TEXT(tblSales[[#This Row],[OrderDate]],"yyyy-mm")</f>
        <v>2023-01</v>
      </c>
    </row>
    <row r="19" spans="1:9" x14ac:dyDescent="0.3">
      <c r="A19" s="1">
        <v>44702</v>
      </c>
      <c r="B19" t="s">
        <v>49</v>
      </c>
      <c r="C19" t="s">
        <v>50</v>
      </c>
      <c r="D19" t="s">
        <v>31</v>
      </c>
      <c r="E19">
        <v>5</v>
      </c>
      <c r="F19">
        <v>547.58001708984375</v>
      </c>
      <c r="G19">
        <v>2747.9599609375</v>
      </c>
      <c r="H19" t="s">
        <v>15</v>
      </c>
      <c r="I19" t="str">
        <f>TEXT(tblSales[[#This Row],[OrderDate]],"yyyy-mm")</f>
        <v>2022-05</v>
      </c>
    </row>
    <row r="20" spans="1:9" x14ac:dyDescent="0.3">
      <c r="A20" s="1">
        <v>45518</v>
      </c>
      <c r="B20" t="s">
        <v>51</v>
      </c>
      <c r="C20" t="s">
        <v>52</v>
      </c>
      <c r="D20" t="s">
        <v>53</v>
      </c>
      <c r="E20">
        <v>5</v>
      </c>
      <c r="F20">
        <v>529.19000244140625</v>
      </c>
      <c r="G20">
        <v>2968.030029296875</v>
      </c>
      <c r="H20" t="s">
        <v>15</v>
      </c>
      <c r="I20" t="str">
        <f>TEXT(tblSales[[#This Row],[OrderDate]],"yyyy-mm")</f>
        <v>2024-08</v>
      </c>
    </row>
    <row r="21" spans="1:9" x14ac:dyDescent="0.3">
      <c r="A21" s="1">
        <v>43961</v>
      </c>
      <c r="B21" t="s">
        <v>54</v>
      </c>
      <c r="C21" t="s">
        <v>13</v>
      </c>
      <c r="D21" t="s">
        <v>34</v>
      </c>
      <c r="E21">
        <v>3</v>
      </c>
      <c r="F21">
        <v>303.52999877929688</v>
      </c>
      <c r="G21">
        <v>987.6199951171875</v>
      </c>
      <c r="H21" t="s">
        <v>15</v>
      </c>
      <c r="I21" t="str">
        <f>TEXT(tblSales[[#This Row],[OrderDate]],"yyyy-mm")</f>
        <v>2020-05</v>
      </c>
    </row>
    <row r="22" spans="1:9" x14ac:dyDescent="0.3">
      <c r="A22" s="1">
        <v>45516</v>
      </c>
      <c r="B22" t="s">
        <v>55</v>
      </c>
      <c r="C22" t="s">
        <v>30</v>
      </c>
      <c r="D22" t="s">
        <v>31</v>
      </c>
      <c r="E22">
        <v>1</v>
      </c>
      <c r="F22">
        <v>226.25999450683594</v>
      </c>
      <c r="G22">
        <v>247.1199951171875</v>
      </c>
      <c r="H22" t="s">
        <v>15</v>
      </c>
      <c r="I22" t="str">
        <f>TEXT(tblSales[[#This Row],[OrderDate]],"yyyy-mm")</f>
        <v>2024-08</v>
      </c>
    </row>
    <row r="23" spans="1:9" x14ac:dyDescent="0.3">
      <c r="A23" s="1">
        <v>45163</v>
      </c>
      <c r="B23" t="s">
        <v>43</v>
      </c>
      <c r="C23" t="s">
        <v>56</v>
      </c>
      <c r="D23" t="s">
        <v>10</v>
      </c>
      <c r="E23">
        <v>4</v>
      </c>
      <c r="F23">
        <v>493.47000122070313</v>
      </c>
      <c r="G23">
        <v>2084.3701171875</v>
      </c>
      <c r="H23" t="s">
        <v>28</v>
      </c>
      <c r="I23" t="str">
        <f>TEXT(tblSales[[#This Row],[OrderDate]],"yyyy-mm")</f>
        <v>2023-08</v>
      </c>
    </row>
    <row r="24" spans="1:9" x14ac:dyDescent="0.3">
      <c r="A24" s="1">
        <v>44600</v>
      </c>
      <c r="B24" t="s">
        <v>57</v>
      </c>
      <c r="C24" t="s">
        <v>58</v>
      </c>
      <c r="D24" t="s">
        <v>31</v>
      </c>
      <c r="E24">
        <v>5</v>
      </c>
      <c r="F24">
        <v>452.1199951171875</v>
      </c>
      <c r="G24">
        <v>2383.25</v>
      </c>
      <c r="H24" t="s">
        <v>23</v>
      </c>
      <c r="I24" t="str">
        <f>TEXT(tblSales[[#This Row],[OrderDate]],"yyyy-mm")</f>
        <v>2022-02</v>
      </c>
    </row>
    <row r="25" spans="1:9" x14ac:dyDescent="0.3">
      <c r="A25" s="1">
        <v>44174</v>
      </c>
      <c r="B25" t="s">
        <v>59</v>
      </c>
      <c r="C25" t="s">
        <v>60</v>
      </c>
      <c r="D25" t="s">
        <v>53</v>
      </c>
      <c r="E25">
        <v>3</v>
      </c>
      <c r="F25">
        <v>107.94999694824219</v>
      </c>
      <c r="G25">
        <v>299.760009765625</v>
      </c>
      <c r="H25" t="s">
        <v>15</v>
      </c>
      <c r="I25" t="str">
        <f>TEXT(tblSales[[#This Row],[OrderDate]],"yyyy-mm")</f>
        <v>2020-12</v>
      </c>
    </row>
    <row r="26" spans="1:9" x14ac:dyDescent="0.3">
      <c r="A26" s="1">
        <v>45346</v>
      </c>
      <c r="B26" t="s">
        <v>61</v>
      </c>
      <c r="C26" t="s">
        <v>62</v>
      </c>
      <c r="D26" t="s">
        <v>31</v>
      </c>
      <c r="E26">
        <v>1</v>
      </c>
      <c r="F26">
        <v>16.680000305175781</v>
      </c>
      <c r="G26">
        <v>17.700000762939453</v>
      </c>
      <c r="H26" t="s">
        <v>15</v>
      </c>
      <c r="I26" t="str">
        <f>TEXT(tblSales[[#This Row],[OrderDate]],"yyyy-mm")</f>
        <v>2024-02</v>
      </c>
    </row>
    <row r="27" spans="1:9" x14ac:dyDescent="0.3">
      <c r="A27" s="1">
        <v>45268</v>
      </c>
      <c r="B27" t="s">
        <v>63</v>
      </c>
      <c r="C27" t="s">
        <v>27</v>
      </c>
      <c r="D27" t="s">
        <v>18</v>
      </c>
      <c r="E27">
        <v>4</v>
      </c>
      <c r="F27">
        <v>380.23001098632813</v>
      </c>
      <c r="G27">
        <v>1286.8599853515625</v>
      </c>
      <c r="H27" t="s">
        <v>23</v>
      </c>
      <c r="I27" t="str">
        <f>TEXT(tblSales[[#This Row],[OrderDate]],"yyyy-mm")</f>
        <v>2023-12</v>
      </c>
    </row>
    <row r="28" spans="1:9" x14ac:dyDescent="0.3">
      <c r="A28" s="1">
        <v>44636</v>
      </c>
      <c r="B28" t="s">
        <v>55</v>
      </c>
      <c r="C28" t="s">
        <v>64</v>
      </c>
      <c r="D28" t="s">
        <v>31</v>
      </c>
      <c r="E28">
        <v>3</v>
      </c>
      <c r="F28">
        <v>569.69000244140625</v>
      </c>
      <c r="G28">
        <v>1449.8900146484375</v>
      </c>
      <c r="H28" t="s">
        <v>15</v>
      </c>
      <c r="I28" t="str">
        <f>TEXT(tblSales[[#This Row],[OrderDate]],"yyyy-mm")</f>
        <v>2022-03</v>
      </c>
    </row>
    <row r="29" spans="1:9" x14ac:dyDescent="0.3">
      <c r="A29" s="1">
        <v>44216</v>
      </c>
      <c r="B29" t="s">
        <v>65</v>
      </c>
      <c r="C29" t="s">
        <v>66</v>
      </c>
      <c r="D29" t="s">
        <v>10</v>
      </c>
      <c r="E29">
        <v>3</v>
      </c>
      <c r="F29">
        <v>138.33000183105469</v>
      </c>
      <c r="G29">
        <v>468.16000366210938</v>
      </c>
      <c r="H29" t="s">
        <v>67</v>
      </c>
      <c r="I29" t="str">
        <f>TEXT(tblSales[[#This Row],[OrderDate]],"yyyy-mm")</f>
        <v>2021-01</v>
      </c>
    </row>
    <row r="30" spans="1:9" x14ac:dyDescent="0.3">
      <c r="A30" s="1">
        <v>45046</v>
      </c>
      <c r="B30" t="s">
        <v>68</v>
      </c>
      <c r="C30" t="s">
        <v>64</v>
      </c>
      <c r="D30" t="s">
        <v>53</v>
      </c>
      <c r="E30">
        <v>3</v>
      </c>
      <c r="F30">
        <v>381.45001220703125</v>
      </c>
      <c r="G30">
        <v>1359.3199462890625</v>
      </c>
      <c r="H30" t="s">
        <v>15</v>
      </c>
      <c r="I30" t="str">
        <f>TEXT(tblSales[[#This Row],[OrderDate]],"yyyy-mm")</f>
        <v>2023-04</v>
      </c>
    </row>
    <row r="31" spans="1:9" x14ac:dyDescent="0.3">
      <c r="A31" s="1">
        <v>44786</v>
      </c>
      <c r="B31" t="s">
        <v>69</v>
      </c>
      <c r="C31" t="s">
        <v>70</v>
      </c>
      <c r="D31" t="s">
        <v>31</v>
      </c>
      <c r="E31">
        <v>5</v>
      </c>
      <c r="F31">
        <v>199.99000549316406</v>
      </c>
      <c r="G31">
        <v>1185.1300048828125</v>
      </c>
      <c r="H31" t="s">
        <v>15</v>
      </c>
      <c r="I31" t="str">
        <f>TEXT(tblSales[[#This Row],[OrderDate]],"yyyy-mm")</f>
        <v>2022-08</v>
      </c>
    </row>
    <row r="32" spans="1:9" x14ac:dyDescent="0.3">
      <c r="A32" s="1">
        <v>44107</v>
      </c>
      <c r="B32" t="s">
        <v>71</v>
      </c>
      <c r="C32" t="s">
        <v>38</v>
      </c>
      <c r="D32" t="s">
        <v>10</v>
      </c>
      <c r="E32">
        <v>2</v>
      </c>
      <c r="F32">
        <v>269.79998779296875</v>
      </c>
      <c r="G32">
        <v>638.219970703125</v>
      </c>
      <c r="H32" t="s">
        <v>67</v>
      </c>
      <c r="I32" t="str">
        <f>TEXT(tblSales[[#This Row],[OrderDate]],"yyyy-mm")</f>
        <v>2020-10</v>
      </c>
    </row>
    <row r="33" spans="1:9" x14ac:dyDescent="0.3">
      <c r="A33" s="1">
        <v>45015</v>
      </c>
      <c r="B33" t="s">
        <v>72</v>
      </c>
      <c r="C33" t="s">
        <v>73</v>
      </c>
      <c r="D33" t="s">
        <v>34</v>
      </c>
      <c r="E33">
        <v>4</v>
      </c>
      <c r="F33">
        <v>126.5</v>
      </c>
      <c r="G33">
        <v>485.17999267578125</v>
      </c>
      <c r="H33" t="s">
        <v>11</v>
      </c>
      <c r="I33" t="str">
        <f>TEXT(tblSales[[#This Row],[OrderDate]],"yyyy-mm")</f>
        <v>2023-03</v>
      </c>
    </row>
    <row r="34" spans="1:9" x14ac:dyDescent="0.3">
      <c r="A34" s="1">
        <v>44290</v>
      </c>
      <c r="B34" t="s">
        <v>74</v>
      </c>
      <c r="C34" t="s">
        <v>75</v>
      </c>
      <c r="D34" t="s">
        <v>53</v>
      </c>
      <c r="E34">
        <v>2</v>
      </c>
      <c r="F34">
        <v>151.94999694824219</v>
      </c>
      <c r="G34">
        <v>306.6400146484375</v>
      </c>
      <c r="H34" t="s">
        <v>15</v>
      </c>
      <c r="I34" t="str">
        <f>TEXT(tblSales[[#This Row],[OrderDate]],"yyyy-mm")</f>
        <v>2021-04</v>
      </c>
    </row>
    <row r="35" spans="1:9" x14ac:dyDescent="0.3">
      <c r="A35" s="1">
        <v>45168</v>
      </c>
      <c r="B35" t="s">
        <v>76</v>
      </c>
      <c r="C35" t="s">
        <v>38</v>
      </c>
      <c r="D35" t="s">
        <v>18</v>
      </c>
      <c r="E35">
        <v>1</v>
      </c>
      <c r="F35">
        <v>218.74000549316406</v>
      </c>
      <c r="G35">
        <v>241.89999389648438</v>
      </c>
      <c r="H35" t="s">
        <v>15</v>
      </c>
      <c r="I35" t="str">
        <f>TEXT(tblSales[[#This Row],[OrderDate]],"yyyy-mm")</f>
        <v>2023-08</v>
      </c>
    </row>
    <row r="36" spans="1:9" x14ac:dyDescent="0.3">
      <c r="A36" s="1">
        <v>43852</v>
      </c>
      <c r="B36" t="s">
        <v>77</v>
      </c>
      <c r="C36" t="s">
        <v>60</v>
      </c>
      <c r="D36" t="s">
        <v>34</v>
      </c>
      <c r="E36">
        <v>5</v>
      </c>
      <c r="F36">
        <v>294.79998779296875</v>
      </c>
      <c r="G36">
        <v>1489.8699951171875</v>
      </c>
      <c r="H36" t="s">
        <v>15</v>
      </c>
      <c r="I36" t="str">
        <f>TEXT(tblSales[[#This Row],[OrderDate]],"yyyy-mm")</f>
        <v>2020-01</v>
      </c>
    </row>
    <row r="37" spans="1:9" x14ac:dyDescent="0.3">
      <c r="A37" s="1">
        <v>44083</v>
      </c>
      <c r="B37" t="s">
        <v>78</v>
      </c>
      <c r="C37" t="s">
        <v>52</v>
      </c>
      <c r="D37" t="s">
        <v>10</v>
      </c>
      <c r="E37">
        <v>1</v>
      </c>
      <c r="F37">
        <v>357.760009765625</v>
      </c>
      <c r="G37">
        <v>275.07998657226563</v>
      </c>
      <c r="H37" t="s">
        <v>67</v>
      </c>
      <c r="I37" t="str">
        <f>TEXT(tblSales[[#This Row],[OrderDate]],"yyyy-mm")</f>
        <v>2020-09</v>
      </c>
    </row>
    <row r="38" spans="1:9" x14ac:dyDescent="0.3">
      <c r="A38" s="1">
        <v>44578</v>
      </c>
      <c r="B38" t="s">
        <v>79</v>
      </c>
      <c r="C38" t="s">
        <v>80</v>
      </c>
      <c r="D38" t="s">
        <v>53</v>
      </c>
      <c r="E38">
        <v>5</v>
      </c>
      <c r="F38">
        <v>448.8900146484375</v>
      </c>
      <c r="G38">
        <v>2427.31005859375</v>
      </c>
      <c r="H38" t="s">
        <v>15</v>
      </c>
      <c r="I38" t="str">
        <f>TEXT(tblSales[[#This Row],[OrderDate]],"yyyy-mm")</f>
        <v>2022-01</v>
      </c>
    </row>
    <row r="39" spans="1:9" x14ac:dyDescent="0.3">
      <c r="A39" s="1">
        <v>44687</v>
      </c>
      <c r="B39" t="s">
        <v>81</v>
      </c>
      <c r="C39" t="s">
        <v>82</v>
      </c>
      <c r="D39" t="s">
        <v>53</v>
      </c>
      <c r="E39">
        <v>4</v>
      </c>
      <c r="F39">
        <v>300.8900146484375</v>
      </c>
      <c r="G39">
        <v>1348.4200439453125</v>
      </c>
      <c r="H39" t="s">
        <v>15</v>
      </c>
      <c r="I39" t="str">
        <f>TEXT(tblSales[[#This Row],[OrderDate]],"yyyy-mm")</f>
        <v>2022-05</v>
      </c>
    </row>
    <row r="40" spans="1:9" x14ac:dyDescent="0.3">
      <c r="A40" s="1">
        <v>45415</v>
      </c>
      <c r="B40" t="s">
        <v>83</v>
      </c>
      <c r="C40" t="s">
        <v>13</v>
      </c>
      <c r="D40" t="s">
        <v>14</v>
      </c>
      <c r="E40">
        <v>5</v>
      </c>
      <c r="F40">
        <v>512.8800048828125</v>
      </c>
      <c r="G40">
        <v>2030.800048828125</v>
      </c>
      <c r="H40" t="s">
        <v>67</v>
      </c>
      <c r="I40" t="str">
        <f>TEXT(tblSales[[#This Row],[OrderDate]],"yyyy-mm")</f>
        <v>2024-05</v>
      </c>
    </row>
    <row r="41" spans="1:9" x14ac:dyDescent="0.3">
      <c r="A41" s="1">
        <v>44305</v>
      </c>
      <c r="B41" t="s">
        <v>72</v>
      </c>
      <c r="C41" t="s">
        <v>56</v>
      </c>
      <c r="D41" t="s">
        <v>10</v>
      </c>
      <c r="E41">
        <v>2</v>
      </c>
      <c r="F41">
        <v>81.819999694824219</v>
      </c>
      <c r="G41">
        <v>159.11000061035156</v>
      </c>
      <c r="H41" t="s">
        <v>15</v>
      </c>
      <c r="I41" t="str">
        <f>TEXT(tblSales[[#This Row],[OrderDate]],"yyyy-mm")</f>
        <v>2021-04</v>
      </c>
    </row>
    <row r="42" spans="1:9" x14ac:dyDescent="0.3">
      <c r="A42" s="1">
        <v>44913</v>
      </c>
      <c r="B42" t="s">
        <v>81</v>
      </c>
      <c r="C42" t="s">
        <v>45</v>
      </c>
      <c r="D42" t="s">
        <v>34</v>
      </c>
      <c r="E42">
        <v>3</v>
      </c>
      <c r="F42">
        <v>215.89999389648438</v>
      </c>
      <c r="G42">
        <v>733.8699951171875</v>
      </c>
      <c r="H42" t="s">
        <v>15</v>
      </c>
      <c r="I42" t="str">
        <f>TEXT(tblSales[[#This Row],[OrderDate]],"yyyy-mm")</f>
        <v>2022-12</v>
      </c>
    </row>
    <row r="43" spans="1:9" x14ac:dyDescent="0.3">
      <c r="A43" s="1">
        <v>44341</v>
      </c>
      <c r="B43" t="s">
        <v>84</v>
      </c>
      <c r="C43" t="s">
        <v>85</v>
      </c>
      <c r="D43" t="s">
        <v>10</v>
      </c>
      <c r="E43">
        <v>5</v>
      </c>
      <c r="F43">
        <v>574.280029296875</v>
      </c>
      <c r="G43">
        <v>2715.699951171875</v>
      </c>
      <c r="H43" t="s">
        <v>15</v>
      </c>
      <c r="I43" t="str">
        <f>TEXT(tblSales[[#This Row],[OrderDate]],"yyyy-mm")</f>
        <v>2021-05</v>
      </c>
    </row>
    <row r="44" spans="1:9" x14ac:dyDescent="0.3">
      <c r="A44" s="1">
        <v>45536</v>
      </c>
      <c r="B44" t="s">
        <v>86</v>
      </c>
      <c r="C44" t="s">
        <v>33</v>
      </c>
      <c r="D44" t="s">
        <v>14</v>
      </c>
      <c r="E44">
        <v>4</v>
      </c>
      <c r="F44">
        <v>109.58999633789063</v>
      </c>
      <c r="G44">
        <v>481.01998901367188</v>
      </c>
      <c r="H44" t="s">
        <v>11</v>
      </c>
      <c r="I44" t="str">
        <f>TEXT(tblSales[[#This Row],[OrderDate]],"yyyy-mm")</f>
        <v>2024-09</v>
      </c>
    </row>
    <row r="45" spans="1:9" x14ac:dyDescent="0.3">
      <c r="A45" s="1">
        <v>45330</v>
      </c>
      <c r="B45" t="s">
        <v>87</v>
      </c>
      <c r="C45" t="s">
        <v>48</v>
      </c>
      <c r="D45" t="s">
        <v>31</v>
      </c>
      <c r="E45">
        <v>3</v>
      </c>
      <c r="F45">
        <v>88.459999084472656</v>
      </c>
      <c r="G45">
        <v>268.89999389648438</v>
      </c>
      <c r="H45" t="s">
        <v>15</v>
      </c>
      <c r="I45" t="str">
        <f>TEXT(tblSales[[#This Row],[OrderDate]],"yyyy-mm")</f>
        <v>2024-02</v>
      </c>
    </row>
    <row r="46" spans="1:9" x14ac:dyDescent="0.3">
      <c r="A46" s="1">
        <v>44530</v>
      </c>
      <c r="B46" t="s">
        <v>78</v>
      </c>
      <c r="C46" t="s">
        <v>45</v>
      </c>
      <c r="D46" t="s">
        <v>53</v>
      </c>
      <c r="E46">
        <v>4</v>
      </c>
      <c r="F46">
        <v>395.6400146484375</v>
      </c>
      <c r="G46">
        <v>1627.5899658203125</v>
      </c>
      <c r="H46" t="s">
        <v>15</v>
      </c>
      <c r="I46" t="str">
        <f>TEXT(tblSales[[#This Row],[OrderDate]],"yyyy-mm")</f>
        <v>2021-11</v>
      </c>
    </row>
    <row r="47" spans="1:9" x14ac:dyDescent="0.3">
      <c r="A47" s="1">
        <v>44806</v>
      </c>
      <c r="B47" t="s">
        <v>88</v>
      </c>
      <c r="C47" t="s">
        <v>89</v>
      </c>
      <c r="D47" t="s">
        <v>31</v>
      </c>
      <c r="E47">
        <v>2</v>
      </c>
      <c r="F47">
        <v>449.1400146484375</v>
      </c>
      <c r="G47">
        <v>858.989990234375</v>
      </c>
      <c r="H47" t="s">
        <v>15</v>
      </c>
      <c r="I47" t="str">
        <f>TEXT(tblSales[[#This Row],[OrderDate]],"yyyy-mm")</f>
        <v>2022-09</v>
      </c>
    </row>
    <row r="48" spans="1:9" x14ac:dyDescent="0.3">
      <c r="A48" s="1">
        <v>45637</v>
      </c>
      <c r="B48" t="s">
        <v>90</v>
      </c>
      <c r="C48" t="s">
        <v>50</v>
      </c>
      <c r="D48" t="s">
        <v>53</v>
      </c>
      <c r="E48">
        <v>4</v>
      </c>
      <c r="F48">
        <v>121.44999694824219</v>
      </c>
      <c r="G48">
        <v>489.54998779296875</v>
      </c>
      <c r="H48" t="s">
        <v>15</v>
      </c>
      <c r="I48" t="str">
        <f>TEXT(tblSales[[#This Row],[OrderDate]],"yyyy-mm")</f>
        <v>2024-12</v>
      </c>
    </row>
    <row r="49" spans="1:9" x14ac:dyDescent="0.3">
      <c r="A49" s="1">
        <v>44020</v>
      </c>
      <c r="B49" t="s">
        <v>91</v>
      </c>
      <c r="C49" t="s">
        <v>27</v>
      </c>
      <c r="D49" t="s">
        <v>31</v>
      </c>
      <c r="E49">
        <v>2</v>
      </c>
      <c r="F49">
        <v>140.88999938964844</v>
      </c>
      <c r="G49">
        <v>289.58999633789063</v>
      </c>
      <c r="H49" t="s">
        <v>28</v>
      </c>
      <c r="I49" t="str">
        <f>TEXT(tblSales[[#This Row],[OrderDate]],"yyyy-mm")</f>
        <v>2020-07</v>
      </c>
    </row>
    <row r="50" spans="1:9" x14ac:dyDescent="0.3">
      <c r="A50" s="1">
        <v>44788</v>
      </c>
      <c r="B50" t="s">
        <v>92</v>
      </c>
      <c r="C50" t="s">
        <v>9</v>
      </c>
      <c r="D50" t="s">
        <v>10</v>
      </c>
      <c r="E50">
        <v>3</v>
      </c>
      <c r="F50">
        <v>249.83999633789063</v>
      </c>
      <c r="G50">
        <v>650.8499755859375</v>
      </c>
      <c r="H50" t="s">
        <v>28</v>
      </c>
      <c r="I50" t="str">
        <f>TEXT(tblSales[[#This Row],[OrderDate]],"yyyy-mm")</f>
        <v>2022-08</v>
      </c>
    </row>
    <row r="51" spans="1:9" x14ac:dyDescent="0.3">
      <c r="A51" s="1">
        <v>44517</v>
      </c>
      <c r="B51" t="s">
        <v>93</v>
      </c>
      <c r="C51" t="s">
        <v>94</v>
      </c>
      <c r="D51" t="s">
        <v>10</v>
      </c>
      <c r="E51">
        <v>3</v>
      </c>
      <c r="F51">
        <v>482.3699951171875</v>
      </c>
      <c r="G51">
        <v>1300.27001953125</v>
      </c>
      <c r="H51" t="s">
        <v>11</v>
      </c>
      <c r="I51" t="str">
        <f>TEXT(tblSales[[#This Row],[OrderDate]],"yyyy-mm")</f>
        <v>2021-11</v>
      </c>
    </row>
    <row r="52" spans="1:9" x14ac:dyDescent="0.3">
      <c r="A52" s="1">
        <v>44788</v>
      </c>
      <c r="B52" t="s">
        <v>95</v>
      </c>
      <c r="C52" t="s">
        <v>75</v>
      </c>
      <c r="D52" t="s">
        <v>10</v>
      </c>
      <c r="E52">
        <v>3</v>
      </c>
      <c r="F52">
        <v>244.83000183105469</v>
      </c>
      <c r="G52">
        <v>558.94000244140625</v>
      </c>
      <c r="H52" t="s">
        <v>28</v>
      </c>
      <c r="I52" t="str">
        <f>TEXT(tblSales[[#This Row],[OrderDate]],"yyyy-mm")</f>
        <v>2022-08</v>
      </c>
    </row>
    <row r="53" spans="1:9" x14ac:dyDescent="0.3">
      <c r="A53" s="1">
        <v>44393</v>
      </c>
      <c r="B53" t="s">
        <v>96</v>
      </c>
      <c r="C53" t="s">
        <v>50</v>
      </c>
      <c r="D53" t="s">
        <v>53</v>
      </c>
      <c r="E53">
        <v>4</v>
      </c>
      <c r="F53">
        <v>353.85000610351563</v>
      </c>
      <c r="G53">
        <v>1417.949951171875</v>
      </c>
      <c r="H53" t="s">
        <v>15</v>
      </c>
      <c r="I53" t="str">
        <f>TEXT(tblSales[[#This Row],[OrderDate]],"yyyy-mm")</f>
        <v>2021-07</v>
      </c>
    </row>
    <row r="54" spans="1:9" x14ac:dyDescent="0.3">
      <c r="A54" s="1">
        <v>45421</v>
      </c>
      <c r="B54" t="s">
        <v>97</v>
      </c>
      <c r="C54" t="s">
        <v>98</v>
      </c>
      <c r="D54" t="s">
        <v>53</v>
      </c>
      <c r="E54">
        <v>3</v>
      </c>
      <c r="F54">
        <v>324.760009765625</v>
      </c>
      <c r="G54">
        <v>716.8499755859375</v>
      </c>
      <c r="H54" t="s">
        <v>15</v>
      </c>
      <c r="I54" t="str">
        <f>TEXT(tblSales[[#This Row],[OrderDate]],"yyyy-mm")</f>
        <v>2024-05</v>
      </c>
    </row>
    <row r="55" spans="1:9" x14ac:dyDescent="0.3">
      <c r="A55" s="1">
        <v>45098</v>
      </c>
      <c r="B55" t="s">
        <v>97</v>
      </c>
      <c r="C55" t="s">
        <v>99</v>
      </c>
      <c r="D55" t="s">
        <v>34</v>
      </c>
      <c r="E55">
        <v>1</v>
      </c>
      <c r="F55">
        <v>491.77999877929688</v>
      </c>
      <c r="G55">
        <v>500.85000610351563</v>
      </c>
      <c r="H55" t="s">
        <v>11</v>
      </c>
      <c r="I55" t="str">
        <f>TEXT(tblSales[[#This Row],[OrderDate]],"yyyy-mm")</f>
        <v>2023-06</v>
      </c>
    </row>
    <row r="56" spans="1:9" x14ac:dyDescent="0.3">
      <c r="A56" s="1">
        <v>44662</v>
      </c>
      <c r="B56" t="s">
        <v>77</v>
      </c>
      <c r="C56" t="s">
        <v>17</v>
      </c>
      <c r="D56" t="s">
        <v>53</v>
      </c>
      <c r="E56">
        <v>4</v>
      </c>
      <c r="F56">
        <v>549.219970703125</v>
      </c>
      <c r="G56">
        <v>2199.610107421875</v>
      </c>
      <c r="H56" t="s">
        <v>15</v>
      </c>
      <c r="I56" t="str">
        <f>TEXT(tblSales[[#This Row],[OrderDate]],"yyyy-mm")</f>
        <v>2022-04</v>
      </c>
    </row>
    <row r="57" spans="1:9" x14ac:dyDescent="0.3">
      <c r="A57" s="1">
        <v>45359</v>
      </c>
      <c r="B57" t="s">
        <v>100</v>
      </c>
      <c r="C57" t="s">
        <v>17</v>
      </c>
      <c r="D57" t="s">
        <v>14</v>
      </c>
      <c r="E57">
        <v>4</v>
      </c>
      <c r="F57">
        <v>364.07998657226563</v>
      </c>
      <c r="G57">
        <v>1236.260009765625</v>
      </c>
      <c r="H57" t="s">
        <v>15</v>
      </c>
      <c r="I57" t="str">
        <f>TEXT(tblSales[[#This Row],[OrderDate]],"yyyy-mm")</f>
        <v>2024-03</v>
      </c>
    </row>
    <row r="58" spans="1:9" x14ac:dyDescent="0.3">
      <c r="A58" s="1">
        <v>44985</v>
      </c>
      <c r="B58" t="s">
        <v>101</v>
      </c>
      <c r="C58" t="s">
        <v>85</v>
      </c>
      <c r="D58" t="s">
        <v>34</v>
      </c>
      <c r="E58">
        <v>2</v>
      </c>
      <c r="F58">
        <v>509.58999633789063</v>
      </c>
      <c r="G58">
        <v>1206.4200439453125</v>
      </c>
      <c r="H58" t="s">
        <v>15</v>
      </c>
      <c r="I58" t="str">
        <f>TEXT(tblSales[[#This Row],[OrderDate]],"yyyy-mm")</f>
        <v>2023-02</v>
      </c>
    </row>
    <row r="59" spans="1:9" x14ac:dyDescent="0.3">
      <c r="A59" s="1">
        <v>45339</v>
      </c>
      <c r="B59" t="s">
        <v>102</v>
      </c>
      <c r="C59" t="s">
        <v>103</v>
      </c>
      <c r="D59" t="s">
        <v>18</v>
      </c>
      <c r="E59">
        <v>5</v>
      </c>
      <c r="F59">
        <v>182.55000305175781</v>
      </c>
      <c r="G59">
        <v>970.469970703125</v>
      </c>
      <c r="H59" t="s">
        <v>23</v>
      </c>
      <c r="I59" t="str">
        <f>TEXT(tblSales[[#This Row],[OrderDate]],"yyyy-mm")</f>
        <v>2024-02</v>
      </c>
    </row>
    <row r="60" spans="1:9" x14ac:dyDescent="0.3">
      <c r="A60" s="1">
        <v>44477</v>
      </c>
      <c r="B60" t="s">
        <v>104</v>
      </c>
      <c r="C60" t="s">
        <v>105</v>
      </c>
      <c r="D60" t="s">
        <v>31</v>
      </c>
      <c r="E60">
        <v>3</v>
      </c>
      <c r="F60">
        <v>184.69999694824219</v>
      </c>
      <c r="G60">
        <v>442.3900146484375</v>
      </c>
      <c r="H60" t="s">
        <v>15</v>
      </c>
      <c r="I60" t="str">
        <f>TEXT(tblSales[[#This Row],[OrderDate]],"yyyy-mm")</f>
        <v>2021-10</v>
      </c>
    </row>
    <row r="61" spans="1:9" x14ac:dyDescent="0.3">
      <c r="A61" s="1">
        <v>43851</v>
      </c>
      <c r="B61" t="s">
        <v>106</v>
      </c>
      <c r="C61" t="s">
        <v>107</v>
      </c>
      <c r="D61" t="s">
        <v>53</v>
      </c>
      <c r="E61">
        <v>2</v>
      </c>
      <c r="F61">
        <v>439.79998779296875</v>
      </c>
      <c r="G61">
        <v>931.1300048828125</v>
      </c>
      <c r="H61" t="s">
        <v>11</v>
      </c>
      <c r="I61" t="str">
        <f>TEXT(tblSales[[#This Row],[OrderDate]],"yyyy-mm")</f>
        <v>2020-01</v>
      </c>
    </row>
    <row r="62" spans="1:9" x14ac:dyDescent="0.3">
      <c r="A62" s="1">
        <v>44671</v>
      </c>
      <c r="B62" t="s">
        <v>51</v>
      </c>
      <c r="C62" t="s">
        <v>108</v>
      </c>
      <c r="D62" t="s">
        <v>10</v>
      </c>
      <c r="E62">
        <v>4</v>
      </c>
      <c r="F62">
        <v>593.02001953125</v>
      </c>
      <c r="G62">
        <v>2668.2900390625</v>
      </c>
      <c r="H62" t="s">
        <v>11</v>
      </c>
      <c r="I62" t="str">
        <f>TEXT(tblSales[[#This Row],[OrderDate]],"yyyy-mm")</f>
        <v>2022-04</v>
      </c>
    </row>
    <row r="63" spans="1:9" x14ac:dyDescent="0.3">
      <c r="A63" s="1">
        <v>43997</v>
      </c>
      <c r="B63" t="s">
        <v>109</v>
      </c>
      <c r="C63" t="s">
        <v>48</v>
      </c>
      <c r="D63" t="s">
        <v>14</v>
      </c>
      <c r="E63">
        <v>3</v>
      </c>
      <c r="F63">
        <v>131.36000061035156</v>
      </c>
      <c r="G63">
        <v>472.260009765625</v>
      </c>
      <c r="H63" t="s">
        <v>23</v>
      </c>
      <c r="I63" t="str">
        <f>TEXT(tblSales[[#This Row],[OrderDate]],"yyyy-mm")</f>
        <v>2020-06</v>
      </c>
    </row>
    <row r="64" spans="1:9" x14ac:dyDescent="0.3">
      <c r="A64" s="1">
        <v>45128</v>
      </c>
      <c r="B64" t="s">
        <v>57</v>
      </c>
      <c r="C64" t="s">
        <v>110</v>
      </c>
      <c r="D64" t="s">
        <v>31</v>
      </c>
      <c r="E64">
        <v>3</v>
      </c>
      <c r="F64">
        <v>71.260002136230469</v>
      </c>
      <c r="G64">
        <v>226.77000427246094</v>
      </c>
      <c r="H64" t="s">
        <v>15</v>
      </c>
      <c r="I64" t="str">
        <f>TEXT(tblSales[[#This Row],[OrderDate]],"yyyy-mm")</f>
        <v>2023-07</v>
      </c>
    </row>
    <row r="65" spans="1:9" x14ac:dyDescent="0.3">
      <c r="A65" s="1">
        <v>44218</v>
      </c>
      <c r="B65" t="s">
        <v>111</v>
      </c>
      <c r="C65" t="s">
        <v>108</v>
      </c>
      <c r="D65" t="s">
        <v>10</v>
      </c>
      <c r="E65">
        <v>5</v>
      </c>
      <c r="F65">
        <v>107.11000061035156</v>
      </c>
      <c r="G65">
        <v>547.1300048828125</v>
      </c>
      <c r="H65" t="s">
        <v>15</v>
      </c>
      <c r="I65" t="str">
        <f>TEXT(tblSales[[#This Row],[OrderDate]],"yyyy-mm")</f>
        <v>2021-01</v>
      </c>
    </row>
    <row r="66" spans="1:9" x14ac:dyDescent="0.3">
      <c r="A66" s="1">
        <v>44431</v>
      </c>
      <c r="B66" t="s">
        <v>26</v>
      </c>
      <c r="C66" t="s">
        <v>50</v>
      </c>
      <c r="D66" t="s">
        <v>31</v>
      </c>
      <c r="E66">
        <v>5</v>
      </c>
      <c r="F66">
        <v>417.27999877929688</v>
      </c>
      <c r="G66">
        <v>1871.760009765625</v>
      </c>
      <c r="H66" t="s">
        <v>11</v>
      </c>
      <c r="I66" t="str">
        <f>TEXT(tblSales[[#This Row],[OrderDate]],"yyyy-mm")</f>
        <v>2021-08</v>
      </c>
    </row>
    <row r="67" spans="1:9" x14ac:dyDescent="0.3">
      <c r="A67" s="1">
        <v>44146</v>
      </c>
      <c r="B67" t="s">
        <v>96</v>
      </c>
      <c r="C67" t="s">
        <v>108</v>
      </c>
      <c r="D67" t="s">
        <v>10</v>
      </c>
      <c r="E67">
        <v>2</v>
      </c>
      <c r="F67">
        <v>559.030029296875</v>
      </c>
      <c r="G67">
        <v>1068.1800537109375</v>
      </c>
      <c r="H67" t="s">
        <v>15</v>
      </c>
      <c r="I67" t="str">
        <f>TEXT(tblSales[[#This Row],[OrderDate]],"yyyy-mm")</f>
        <v>2020-11</v>
      </c>
    </row>
    <row r="68" spans="1:9" x14ac:dyDescent="0.3">
      <c r="A68" s="1">
        <v>43844</v>
      </c>
      <c r="B68" t="s">
        <v>49</v>
      </c>
      <c r="C68" t="s">
        <v>38</v>
      </c>
      <c r="D68" t="s">
        <v>14</v>
      </c>
      <c r="E68">
        <v>4</v>
      </c>
      <c r="F68">
        <v>203.83999633789063</v>
      </c>
      <c r="G68">
        <v>784.19000244140625</v>
      </c>
      <c r="H68" t="s">
        <v>11</v>
      </c>
      <c r="I68" t="str">
        <f>TEXT(tblSales[[#This Row],[OrderDate]],"yyyy-mm")</f>
        <v>2020-01</v>
      </c>
    </row>
    <row r="69" spans="1:9" x14ac:dyDescent="0.3">
      <c r="A69" s="1">
        <v>44072</v>
      </c>
      <c r="B69" t="s">
        <v>112</v>
      </c>
      <c r="C69" t="s">
        <v>62</v>
      </c>
      <c r="D69" t="s">
        <v>18</v>
      </c>
      <c r="E69">
        <v>4</v>
      </c>
      <c r="F69">
        <v>129.89999389648438</v>
      </c>
      <c r="G69">
        <v>561.97998046875</v>
      </c>
      <c r="H69" t="s">
        <v>15</v>
      </c>
      <c r="I69" t="str">
        <f>TEXT(tblSales[[#This Row],[OrderDate]],"yyyy-mm")</f>
        <v>2020-08</v>
      </c>
    </row>
    <row r="70" spans="1:9" x14ac:dyDescent="0.3">
      <c r="A70" s="1">
        <v>44607</v>
      </c>
      <c r="B70" t="s">
        <v>83</v>
      </c>
      <c r="C70" t="s">
        <v>98</v>
      </c>
      <c r="D70" t="s">
        <v>10</v>
      </c>
      <c r="E70">
        <v>5</v>
      </c>
      <c r="F70">
        <v>105.16000366210938</v>
      </c>
      <c r="G70">
        <v>565.3800048828125</v>
      </c>
      <c r="H70" t="s">
        <v>15</v>
      </c>
      <c r="I70" t="str">
        <f>TEXT(tblSales[[#This Row],[OrderDate]],"yyyy-mm")</f>
        <v>2022-02</v>
      </c>
    </row>
    <row r="71" spans="1:9" x14ac:dyDescent="0.3">
      <c r="A71" s="1">
        <v>45200</v>
      </c>
      <c r="B71" t="s">
        <v>113</v>
      </c>
      <c r="C71" t="s">
        <v>20</v>
      </c>
      <c r="D71" t="s">
        <v>53</v>
      </c>
      <c r="E71">
        <v>1</v>
      </c>
      <c r="F71">
        <v>82.790000915527344</v>
      </c>
      <c r="G71">
        <v>98.169998168945313</v>
      </c>
      <c r="H71" t="s">
        <v>15</v>
      </c>
      <c r="I71" t="str">
        <f>TEXT(tblSales[[#This Row],[OrderDate]],"yyyy-mm")</f>
        <v>2023-10</v>
      </c>
    </row>
    <row r="72" spans="1:9" x14ac:dyDescent="0.3">
      <c r="A72" s="1">
        <v>44395</v>
      </c>
      <c r="B72" t="s">
        <v>114</v>
      </c>
      <c r="C72" t="s">
        <v>85</v>
      </c>
      <c r="D72" t="s">
        <v>34</v>
      </c>
      <c r="E72">
        <v>4</v>
      </c>
      <c r="F72">
        <v>433.70001220703125</v>
      </c>
      <c r="G72">
        <v>1662.1099853515625</v>
      </c>
      <c r="H72" t="s">
        <v>15</v>
      </c>
      <c r="I72" t="str">
        <f>TEXT(tblSales[[#This Row],[OrderDate]],"yyyy-mm")</f>
        <v>2021-07</v>
      </c>
    </row>
    <row r="73" spans="1:9" x14ac:dyDescent="0.3">
      <c r="A73" s="1">
        <v>44728</v>
      </c>
      <c r="B73" t="s">
        <v>115</v>
      </c>
      <c r="C73" t="s">
        <v>116</v>
      </c>
      <c r="D73" t="s">
        <v>14</v>
      </c>
      <c r="E73">
        <v>3</v>
      </c>
      <c r="F73">
        <v>137.10000610351563</v>
      </c>
      <c r="G73">
        <v>457.07998657226563</v>
      </c>
      <c r="H73" t="s">
        <v>15</v>
      </c>
      <c r="I73" t="str">
        <f>TEXT(tblSales[[#This Row],[OrderDate]],"yyyy-mm")</f>
        <v>2022-06</v>
      </c>
    </row>
    <row r="74" spans="1:9" x14ac:dyDescent="0.3">
      <c r="A74" s="1">
        <v>45194</v>
      </c>
      <c r="B74" t="s">
        <v>117</v>
      </c>
      <c r="C74" t="s">
        <v>107</v>
      </c>
      <c r="D74" t="s">
        <v>31</v>
      </c>
      <c r="E74">
        <v>5</v>
      </c>
      <c r="F74">
        <v>582.65997314453125</v>
      </c>
      <c r="G74">
        <v>3160.429931640625</v>
      </c>
      <c r="H74" t="s">
        <v>15</v>
      </c>
      <c r="I74" t="str">
        <f>TEXT(tblSales[[#This Row],[OrderDate]],"yyyy-mm")</f>
        <v>2023-09</v>
      </c>
    </row>
    <row r="75" spans="1:9" x14ac:dyDescent="0.3">
      <c r="A75" s="1">
        <v>43922</v>
      </c>
      <c r="B75" t="s">
        <v>118</v>
      </c>
      <c r="C75" t="s">
        <v>50</v>
      </c>
      <c r="D75" t="s">
        <v>14</v>
      </c>
      <c r="E75">
        <v>2</v>
      </c>
      <c r="F75">
        <v>522.55999755859375</v>
      </c>
      <c r="G75">
        <v>1129.1600341796875</v>
      </c>
      <c r="H75" t="s">
        <v>15</v>
      </c>
      <c r="I75" t="str">
        <f>TEXT(tblSales[[#This Row],[OrderDate]],"yyyy-mm")</f>
        <v>2020-04</v>
      </c>
    </row>
    <row r="76" spans="1:9" x14ac:dyDescent="0.3">
      <c r="A76" s="1">
        <v>45221</v>
      </c>
      <c r="B76" t="s">
        <v>119</v>
      </c>
      <c r="C76" t="s">
        <v>56</v>
      </c>
      <c r="D76" t="s">
        <v>34</v>
      </c>
      <c r="E76">
        <v>2</v>
      </c>
      <c r="F76">
        <v>354.17999267578125</v>
      </c>
      <c r="G76">
        <v>756.17999267578125</v>
      </c>
      <c r="H76" t="s">
        <v>15</v>
      </c>
      <c r="I76" t="str">
        <f>TEXT(tblSales[[#This Row],[OrderDate]],"yyyy-mm")</f>
        <v>2023-10</v>
      </c>
    </row>
    <row r="77" spans="1:9" x14ac:dyDescent="0.3">
      <c r="A77" s="1">
        <v>44786</v>
      </c>
      <c r="B77" t="s">
        <v>120</v>
      </c>
      <c r="C77" t="s">
        <v>56</v>
      </c>
      <c r="D77" t="s">
        <v>18</v>
      </c>
      <c r="E77">
        <v>4</v>
      </c>
      <c r="F77">
        <v>437.47000122070313</v>
      </c>
      <c r="G77">
        <v>2073.679931640625</v>
      </c>
      <c r="H77" t="s">
        <v>23</v>
      </c>
      <c r="I77" t="str">
        <f>TEXT(tblSales[[#This Row],[OrderDate]],"yyyy-mm")</f>
        <v>2022-08</v>
      </c>
    </row>
    <row r="78" spans="1:9" x14ac:dyDescent="0.3">
      <c r="A78" s="1">
        <v>45309</v>
      </c>
      <c r="B78" t="s">
        <v>121</v>
      </c>
      <c r="C78" t="s">
        <v>122</v>
      </c>
      <c r="D78" t="s">
        <v>31</v>
      </c>
      <c r="E78">
        <v>1</v>
      </c>
      <c r="F78">
        <v>392.70999145507813</v>
      </c>
      <c r="G78">
        <v>403.67001342773438</v>
      </c>
      <c r="H78" t="s">
        <v>15</v>
      </c>
      <c r="I78" t="str">
        <f>TEXT(tblSales[[#This Row],[OrderDate]],"yyyy-mm")</f>
        <v>2024-01</v>
      </c>
    </row>
    <row r="79" spans="1:9" x14ac:dyDescent="0.3">
      <c r="A79" s="1">
        <v>45282</v>
      </c>
      <c r="B79" t="s">
        <v>123</v>
      </c>
      <c r="C79" t="s">
        <v>116</v>
      </c>
      <c r="D79" t="s">
        <v>53</v>
      </c>
      <c r="E79">
        <v>1</v>
      </c>
      <c r="F79">
        <v>592.90997314453125</v>
      </c>
      <c r="G79">
        <v>598.25</v>
      </c>
      <c r="H79" t="s">
        <v>15</v>
      </c>
      <c r="I79" t="str">
        <f>TEXT(tblSales[[#This Row],[OrderDate]],"yyyy-mm")</f>
        <v>2023-12</v>
      </c>
    </row>
    <row r="80" spans="1:9" x14ac:dyDescent="0.3">
      <c r="A80" s="1">
        <v>44339</v>
      </c>
      <c r="B80" t="s">
        <v>124</v>
      </c>
      <c r="C80" t="s">
        <v>89</v>
      </c>
      <c r="D80" t="s">
        <v>14</v>
      </c>
      <c r="E80">
        <v>2</v>
      </c>
      <c r="F80">
        <v>76.970001220703125</v>
      </c>
      <c r="G80">
        <v>166.55000305175781</v>
      </c>
      <c r="H80" t="s">
        <v>28</v>
      </c>
      <c r="I80" t="str">
        <f>TEXT(tblSales[[#This Row],[OrderDate]],"yyyy-mm")</f>
        <v>2021-05</v>
      </c>
    </row>
    <row r="81" spans="1:9" x14ac:dyDescent="0.3">
      <c r="A81" s="1">
        <v>44606</v>
      </c>
      <c r="B81" t="s">
        <v>54</v>
      </c>
      <c r="C81" t="s">
        <v>125</v>
      </c>
      <c r="D81" t="s">
        <v>53</v>
      </c>
      <c r="E81">
        <v>1</v>
      </c>
      <c r="F81">
        <v>534.30999755859375</v>
      </c>
      <c r="G81">
        <v>553.05999755859375</v>
      </c>
      <c r="H81" t="s">
        <v>11</v>
      </c>
      <c r="I81" t="str">
        <f>TEXT(tblSales[[#This Row],[OrderDate]],"yyyy-mm")</f>
        <v>2022-02</v>
      </c>
    </row>
    <row r="82" spans="1:9" x14ac:dyDescent="0.3">
      <c r="A82" s="1">
        <v>43865</v>
      </c>
      <c r="B82" t="s">
        <v>126</v>
      </c>
      <c r="C82" t="s">
        <v>56</v>
      </c>
      <c r="D82" t="s">
        <v>31</v>
      </c>
      <c r="E82">
        <v>2</v>
      </c>
      <c r="F82">
        <v>402.76998901367188</v>
      </c>
      <c r="G82">
        <v>816.5999755859375</v>
      </c>
      <c r="H82" t="s">
        <v>11</v>
      </c>
      <c r="I82" t="str">
        <f>TEXT(tblSales[[#This Row],[OrderDate]],"yyyy-mm")</f>
        <v>2020-02</v>
      </c>
    </row>
    <row r="83" spans="1:9" x14ac:dyDescent="0.3">
      <c r="A83" s="1">
        <v>44036</v>
      </c>
      <c r="B83" t="s">
        <v>68</v>
      </c>
      <c r="C83" t="s">
        <v>27</v>
      </c>
      <c r="D83" t="s">
        <v>14</v>
      </c>
      <c r="E83">
        <v>3</v>
      </c>
      <c r="F83">
        <v>335.10000610351563</v>
      </c>
      <c r="G83">
        <v>981.3900146484375</v>
      </c>
      <c r="H83" t="s">
        <v>15</v>
      </c>
      <c r="I83" t="str">
        <f>TEXT(tblSales[[#This Row],[OrderDate]],"yyyy-mm")</f>
        <v>2020-07</v>
      </c>
    </row>
    <row r="84" spans="1:9" x14ac:dyDescent="0.3">
      <c r="A84" s="1">
        <v>44935</v>
      </c>
      <c r="B84" t="s">
        <v>127</v>
      </c>
      <c r="C84" t="s">
        <v>105</v>
      </c>
      <c r="D84" t="s">
        <v>10</v>
      </c>
      <c r="E84">
        <v>3</v>
      </c>
      <c r="F84">
        <v>258.1300048828125</v>
      </c>
      <c r="G84">
        <v>875.780029296875</v>
      </c>
      <c r="H84" t="s">
        <v>15</v>
      </c>
      <c r="I84" t="str">
        <f>TEXT(tblSales[[#This Row],[OrderDate]],"yyyy-mm")</f>
        <v>2023-01</v>
      </c>
    </row>
    <row r="85" spans="1:9" x14ac:dyDescent="0.3">
      <c r="A85" s="1">
        <v>45416</v>
      </c>
      <c r="B85" t="s">
        <v>128</v>
      </c>
      <c r="C85" t="s">
        <v>13</v>
      </c>
      <c r="D85" t="s">
        <v>34</v>
      </c>
      <c r="E85">
        <v>1</v>
      </c>
      <c r="F85">
        <v>594.66998291015625</v>
      </c>
      <c r="G85">
        <v>553.1300048828125</v>
      </c>
      <c r="H85" t="s">
        <v>15</v>
      </c>
      <c r="I85" t="str">
        <f>TEXT(tblSales[[#This Row],[OrderDate]],"yyyy-mm")</f>
        <v>2024-05</v>
      </c>
    </row>
    <row r="86" spans="1:9" x14ac:dyDescent="0.3">
      <c r="A86" s="1">
        <v>45242</v>
      </c>
      <c r="B86" t="s">
        <v>61</v>
      </c>
      <c r="C86" t="s">
        <v>64</v>
      </c>
      <c r="D86" t="s">
        <v>53</v>
      </c>
      <c r="E86">
        <v>4</v>
      </c>
      <c r="F86">
        <v>494.1300048828125</v>
      </c>
      <c r="G86">
        <v>2110.18994140625</v>
      </c>
      <c r="H86" t="s">
        <v>15</v>
      </c>
      <c r="I86" t="str">
        <f>TEXT(tblSales[[#This Row],[OrderDate]],"yyyy-mm")</f>
        <v>2023-11</v>
      </c>
    </row>
    <row r="87" spans="1:9" x14ac:dyDescent="0.3">
      <c r="A87" s="1">
        <v>44856</v>
      </c>
      <c r="B87" t="s">
        <v>104</v>
      </c>
      <c r="C87" t="s">
        <v>129</v>
      </c>
      <c r="D87" t="s">
        <v>34</v>
      </c>
      <c r="E87">
        <v>4</v>
      </c>
      <c r="F87">
        <v>15.470000267028809</v>
      </c>
      <c r="G87">
        <v>73.279998779296875</v>
      </c>
      <c r="H87" t="s">
        <v>15</v>
      </c>
      <c r="I87" t="str">
        <f>TEXT(tblSales[[#This Row],[OrderDate]],"yyyy-mm")</f>
        <v>2022-10</v>
      </c>
    </row>
    <row r="88" spans="1:9" x14ac:dyDescent="0.3">
      <c r="A88" s="1">
        <v>44852</v>
      </c>
      <c r="B88" t="s">
        <v>130</v>
      </c>
      <c r="C88" t="s">
        <v>129</v>
      </c>
      <c r="D88" t="s">
        <v>34</v>
      </c>
      <c r="E88">
        <v>4</v>
      </c>
      <c r="F88">
        <v>28.590000152587891</v>
      </c>
      <c r="G88">
        <v>147.96000671386719</v>
      </c>
      <c r="H88" t="s">
        <v>15</v>
      </c>
      <c r="I88" t="str">
        <f>TEXT(tblSales[[#This Row],[OrderDate]],"yyyy-mm")</f>
        <v>2022-10</v>
      </c>
    </row>
    <row r="89" spans="1:9" x14ac:dyDescent="0.3">
      <c r="A89" s="1">
        <v>45244</v>
      </c>
      <c r="B89" t="s">
        <v>131</v>
      </c>
      <c r="C89" t="s">
        <v>25</v>
      </c>
      <c r="D89" t="s">
        <v>53</v>
      </c>
      <c r="E89">
        <v>5</v>
      </c>
      <c r="F89">
        <v>456.57998657226563</v>
      </c>
      <c r="G89">
        <v>2103.179931640625</v>
      </c>
      <c r="H89" t="s">
        <v>23</v>
      </c>
      <c r="I89" t="str">
        <f>TEXT(tblSales[[#This Row],[OrderDate]],"yyyy-mm")</f>
        <v>2023-11</v>
      </c>
    </row>
    <row r="90" spans="1:9" x14ac:dyDescent="0.3">
      <c r="A90" s="1">
        <v>44396</v>
      </c>
      <c r="B90" t="s">
        <v>32</v>
      </c>
      <c r="C90" t="s">
        <v>22</v>
      </c>
      <c r="D90" t="s">
        <v>10</v>
      </c>
      <c r="E90">
        <v>3</v>
      </c>
      <c r="F90">
        <v>324.30999755859375</v>
      </c>
      <c r="G90">
        <v>845.239990234375</v>
      </c>
      <c r="H90" t="s">
        <v>15</v>
      </c>
      <c r="I90" t="str">
        <f>TEXT(tblSales[[#This Row],[OrderDate]],"yyyy-mm")</f>
        <v>2021-07</v>
      </c>
    </row>
    <row r="91" spans="1:9" x14ac:dyDescent="0.3">
      <c r="A91" s="1">
        <v>44960</v>
      </c>
      <c r="B91" t="s">
        <v>39</v>
      </c>
      <c r="C91" t="s">
        <v>82</v>
      </c>
      <c r="D91" t="s">
        <v>10</v>
      </c>
      <c r="E91">
        <v>5</v>
      </c>
      <c r="F91">
        <v>342.260009765625</v>
      </c>
      <c r="G91">
        <v>1485.8499755859375</v>
      </c>
      <c r="H91" t="s">
        <v>15</v>
      </c>
      <c r="I91" t="str">
        <f>TEXT(tblSales[[#This Row],[OrderDate]],"yyyy-mm")</f>
        <v>2023-02</v>
      </c>
    </row>
    <row r="92" spans="1:9" x14ac:dyDescent="0.3">
      <c r="A92" s="1">
        <v>45626</v>
      </c>
      <c r="B92" t="s">
        <v>81</v>
      </c>
      <c r="C92" t="s">
        <v>105</v>
      </c>
      <c r="D92" t="s">
        <v>18</v>
      </c>
      <c r="E92">
        <v>5</v>
      </c>
      <c r="F92">
        <v>201.16000366210938</v>
      </c>
      <c r="G92">
        <v>878.3900146484375</v>
      </c>
      <c r="H92" t="s">
        <v>15</v>
      </c>
      <c r="I92" t="str">
        <f>TEXT(tblSales[[#This Row],[OrderDate]],"yyyy-mm")</f>
        <v>2024-11</v>
      </c>
    </row>
    <row r="93" spans="1:9" x14ac:dyDescent="0.3">
      <c r="A93" s="1">
        <v>45331</v>
      </c>
      <c r="B93" t="s">
        <v>112</v>
      </c>
      <c r="C93" t="s">
        <v>70</v>
      </c>
      <c r="D93" t="s">
        <v>34</v>
      </c>
      <c r="E93">
        <v>4</v>
      </c>
      <c r="F93">
        <v>555.989990234375</v>
      </c>
      <c r="G93">
        <v>2367.550048828125</v>
      </c>
      <c r="H93" t="s">
        <v>15</v>
      </c>
      <c r="I93" t="str">
        <f>TEXT(tblSales[[#This Row],[OrderDate]],"yyyy-mm")</f>
        <v>2024-02</v>
      </c>
    </row>
    <row r="94" spans="1:9" x14ac:dyDescent="0.3">
      <c r="A94" s="1">
        <v>44533</v>
      </c>
      <c r="B94" t="s">
        <v>132</v>
      </c>
      <c r="C94" t="s">
        <v>85</v>
      </c>
      <c r="D94" t="s">
        <v>14</v>
      </c>
      <c r="E94">
        <v>5</v>
      </c>
      <c r="F94">
        <v>138.55999755859375</v>
      </c>
      <c r="G94">
        <v>589.65997314453125</v>
      </c>
      <c r="H94" t="s">
        <v>15</v>
      </c>
      <c r="I94" t="str">
        <f>TEXT(tblSales[[#This Row],[OrderDate]],"yyyy-mm")</f>
        <v>2021-12</v>
      </c>
    </row>
    <row r="95" spans="1:9" x14ac:dyDescent="0.3">
      <c r="A95" s="1">
        <v>44232</v>
      </c>
      <c r="B95" t="s">
        <v>133</v>
      </c>
      <c r="C95" t="s">
        <v>134</v>
      </c>
      <c r="D95" t="s">
        <v>18</v>
      </c>
      <c r="E95">
        <v>4</v>
      </c>
      <c r="F95">
        <v>409.77999877929688</v>
      </c>
      <c r="G95">
        <v>1948.449951171875</v>
      </c>
      <c r="H95" t="s">
        <v>15</v>
      </c>
      <c r="I95" t="str">
        <f>TEXT(tblSales[[#This Row],[OrderDate]],"yyyy-mm")</f>
        <v>2021-02</v>
      </c>
    </row>
    <row r="96" spans="1:9" x14ac:dyDescent="0.3">
      <c r="A96" s="1">
        <v>44560</v>
      </c>
      <c r="B96" t="s">
        <v>135</v>
      </c>
      <c r="C96" t="s">
        <v>70</v>
      </c>
      <c r="D96" t="s">
        <v>53</v>
      </c>
      <c r="E96">
        <v>4</v>
      </c>
      <c r="F96">
        <v>42.310001373291016</v>
      </c>
      <c r="G96">
        <v>165.78999328613281</v>
      </c>
      <c r="H96" t="s">
        <v>15</v>
      </c>
      <c r="I96" t="str">
        <f>TEXT(tblSales[[#This Row],[OrderDate]],"yyyy-mm")</f>
        <v>2021-12</v>
      </c>
    </row>
    <row r="97" spans="1:9" x14ac:dyDescent="0.3">
      <c r="A97" s="1">
        <v>45410</v>
      </c>
      <c r="B97" t="s">
        <v>71</v>
      </c>
      <c r="C97" t="s">
        <v>136</v>
      </c>
      <c r="D97" t="s">
        <v>53</v>
      </c>
      <c r="E97">
        <v>1</v>
      </c>
      <c r="F97">
        <v>170.8800048828125</v>
      </c>
      <c r="G97">
        <v>160.69999694824219</v>
      </c>
      <c r="H97" t="s">
        <v>15</v>
      </c>
      <c r="I97" t="str">
        <f>TEXT(tblSales[[#This Row],[OrderDate]],"yyyy-mm")</f>
        <v>2024-04</v>
      </c>
    </row>
    <row r="98" spans="1:9" x14ac:dyDescent="0.3">
      <c r="A98" s="1">
        <v>43992</v>
      </c>
      <c r="B98" t="s">
        <v>84</v>
      </c>
      <c r="C98" t="s">
        <v>134</v>
      </c>
      <c r="D98" t="s">
        <v>10</v>
      </c>
      <c r="E98">
        <v>3</v>
      </c>
      <c r="F98">
        <v>548.16998291015625</v>
      </c>
      <c r="G98">
        <v>1564.9100341796875</v>
      </c>
      <c r="H98" t="s">
        <v>15</v>
      </c>
      <c r="I98" t="str">
        <f>TEXT(tblSales[[#This Row],[OrderDate]],"yyyy-mm")</f>
        <v>2020-06</v>
      </c>
    </row>
    <row r="99" spans="1:9" x14ac:dyDescent="0.3">
      <c r="A99" s="1">
        <v>44032</v>
      </c>
      <c r="B99" t="s">
        <v>137</v>
      </c>
      <c r="C99" t="s">
        <v>64</v>
      </c>
      <c r="D99" t="s">
        <v>53</v>
      </c>
      <c r="E99">
        <v>4</v>
      </c>
      <c r="F99">
        <v>260.91000366210938</v>
      </c>
      <c r="G99">
        <v>1129.989990234375</v>
      </c>
      <c r="H99" t="s">
        <v>15</v>
      </c>
      <c r="I99" t="str">
        <f>TEXT(tblSales[[#This Row],[OrderDate]],"yyyy-mm")</f>
        <v>2020-07</v>
      </c>
    </row>
    <row r="100" spans="1:9" x14ac:dyDescent="0.3">
      <c r="A100" s="1">
        <v>44826</v>
      </c>
      <c r="B100" t="s">
        <v>138</v>
      </c>
      <c r="C100" t="s">
        <v>30</v>
      </c>
      <c r="D100" t="s">
        <v>10</v>
      </c>
      <c r="E100">
        <v>5</v>
      </c>
      <c r="F100">
        <v>384.55999755859375</v>
      </c>
      <c r="G100">
        <v>1777.75</v>
      </c>
      <c r="H100" t="s">
        <v>15</v>
      </c>
      <c r="I100" t="str">
        <f>TEXT(tblSales[[#This Row],[OrderDate]],"yyyy-mm")</f>
        <v>2022-09</v>
      </c>
    </row>
    <row r="101" spans="1:9" x14ac:dyDescent="0.3">
      <c r="A101" s="1">
        <v>44100</v>
      </c>
      <c r="B101" t="s">
        <v>86</v>
      </c>
      <c r="C101" t="s">
        <v>25</v>
      </c>
      <c r="D101" t="s">
        <v>53</v>
      </c>
      <c r="E101">
        <v>1</v>
      </c>
      <c r="F101">
        <v>206.19999694824219</v>
      </c>
      <c r="G101">
        <v>231.77999877929688</v>
      </c>
      <c r="H101" t="s">
        <v>11</v>
      </c>
      <c r="I101" t="str">
        <f>TEXT(tblSales[[#This Row],[OrderDate]],"yyyy-mm")</f>
        <v>2020-09</v>
      </c>
    </row>
    <row r="102" spans="1:9" x14ac:dyDescent="0.3">
      <c r="A102" s="1">
        <v>44646</v>
      </c>
      <c r="B102" t="s">
        <v>139</v>
      </c>
      <c r="C102" t="s">
        <v>42</v>
      </c>
      <c r="D102" t="s">
        <v>34</v>
      </c>
      <c r="E102">
        <v>4</v>
      </c>
      <c r="F102">
        <v>369.47000122070313</v>
      </c>
      <c r="G102">
        <v>1312.47998046875</v>
      </c>
      <c r="H102" t="s">
        <v>15</v>
      </c>
      <c r="I102" t="str">
        <f>TEXT(tblSales[[#This Row],[OrderDate]],"yyyy-mm")</f>
        <v>2022-03</v>
      </c>
    </row>
    <row r="103" spans="1:9" x14ac:dyDescent="0.3">
      <c r="A103" s="1">
        <v>45125</v>
      </c>
      <c r="B103" t="s">
        <v>71</v>
      </c>
      <c r="C103" t="s">
        <v>9</v>
      </c>
      <c r="D103" t="s">
        <v>10</v>
      </c>
      <c r="E103">
        <v>1</v>
      </c>
      <c r="F103">
        <v>29.370000839233398</v>
      </c>
      <c r="G103">
        <v>36.290000915527344</v>
      </c>
      <c r="H103" t="s">
        <v>15</v>
      </c>
      <c r="I103" t="str">
        <f>TEXT(tblSales[[#This Row],[OrderDate]],"yyyy-mm")</f>
        <v>2023-07</v>
      </c>
    </row>
    <row r="104" spans="1:9" x14ac:dyDescent="0.3">
      <c r="A104" s="1">
        <v>44286</v>
      </c>
      <c r="B104" t="s">
        <v>140</v>
      </c>
      <c r="C104" t="s">
        <v>70</v>
      </c>
      <c r="D104" t="s">
        <v>14</v>
      </c>
      <c r="E104">
        <v>2</v>
      </c>
      <c r="F104">
        <v>159.82000732421875</v>
      </c>
      <c r="G104">
        <v>321.3900146484375</v>
      </c>
      <c r="H104" t="s">
        <v>15</v>
      </c>
      <c r="I104" t="str">
        <f>TEXT(tblSales[[#This Row],[OrderDate]],"yyyy-mm")</f>
        <v>2021-03</v>
      </c>
    </row>
    <row r="105" spans="1:9" x14ac:dyDescent="0.3">
      <c r="A105" s="1">
        <v>45316</v>
      </c>
      <c r="B105" t="s">
        <v>61</v>
      </c>
      <c r="C105" t="s">
        <v>33</v>
      </c>
      <c r="D105" t="s">
        <v>31</v>
      </c>
      <c r="E105">
        <v>4</v>
      </c>
      <c r="F105">
        <v>548.3900146484375</v>
      </c>
      <c r="G105">
        <v>2315.5</v>
      </c>
      <c r="H105" t="s">
        <v>15</v>
      </c>
      <c r="I105" t="str">
        <f>TEXT(tblSales[[#This Row],[OrderDate]],"yyyy-mm")</f>
        <v>2024-01</v>
      </c>
    </row>
    <row r="106" spans="1:9" x14ac:dyDescent="0.3">
      <c r="A106" s="1">
        <v>45581</v>
      </c>
      <c r="B106" t="s">
        <v>141</v>
      </c>
      <c r="C106" t="s">
        <v>52</v>
      </c>
      <c r="D106" t="s">
        <v>53</v>
      </c>
      <c r="E106">
        <v>3</v>
      </c>
      <c r="F106">
        <v>99.050003051757813</v>
      </c>
      <c r="G106">
        <v>316.8800048828125</v>
      </c>
      <c r="H106" t="s">
        <v>15</v>
      </c>
      <c r="I106" t="str">
        <f>TEXT(tblSales[[#This Row],[OrderDate]],"yyyy-mm")</f>
        <v>2024-10</v>
      </c>
    </row>
    <row r="107" spans="1:9" x14ac:dyDescent="0.3">
      <c r="A107" s="1">
        <v>45106</v>
      </c>
      <c r="B107" t="s">
        <v>142</v>
      </c>
      <c r="C107" t="s">
        <v>129</v>
      </c>
      <c r="D107" t="s">
        <v>31</v>
      </c>
      <c r="E107">
        <v>1</v>
      </c>
      <c r="F107">
        <v>113.26999664306641</v>
      </c>
      <c r="G107">
        <v>113.20999908447266</v>
      </c>
      <c r="H107" t="s">
        <v>15</v>
      </c>
      <c r="I107" t="str">
        <f>TEXT(tblSales[[#This Row],[OrderDate]],"yyyy-mm")</f>
        <v>2023-06</v>
      </c>
    </row>
    <row r="108" spans="1:9" x14ac:dyDescent="0.3">
      <c r="A108" s="1">
        <v>44847</v>
      </c>
      <c r="B108" t="s">
        <v>143</v>
      </c>
      <c r="C108" t="s">
        <v>64</v>
      </c>
      <c r="D108" t="s">
        <v>34</v>
      </c>
      <c r="E108">
        <v>3</v>
      </c>
      <c r="F108">
        <v>297.260009765625</v>
      </c>
      <c r="G108">
        <v>954.09002685546875</v>
      </c>
      <c r="H108" t="s">
        <v>15</v>
      </c>
      <c r="I108" t="str">
        <f>TEXT(tblSales[[#This Row],[OrderDate]],"yyyy-mm")</f>
        <v>2022-10</v>
      </c>
    </row>
    <row r="109" spans="1:9" x14ac:dyDescent="0.3">
      <c r="A109" s="1">
        <v>45556</v>
      </c>
      <c r="B109" t="s">
        <v>144</v>
      </c>
      <c r="C109" t="s">
        <v>145</v>
      </c>
      <c r="D109" t="s">
        <v>18</v>
      </c>
      <c r="E109">
        <v>1</v>
      </c>
      <c r="F109">
        <v>483.5</v>
      </c>
      <c r="G109">
        <v>526.79998779296875</v>
      </c>
      <c r="H109" t="s">
        <v>15</v>
      </c>
      <c r="I109" t="str">
        <f>TEXT(tblSales[[#This Row],[OrderDate]],"yyyy-mm")</f>
        <v>2024-09</v>
      </c>
    </row>
    <row r="110" spans="1:9" x14ac:dyDescent="0.3">
      <c r="A110" s="1">
        <v>44126</v>
      </c>
      <c r="B110" t="s">
        <v>142</v>
      </c>
      <c r="C110" t="s">
        <v>103</v>
      </c>
      <c r="D110" t="s">
        <v>34</v>
      </c>
      <c r="E110">
        <v>3</v>
      </c>
      <c r="F110">
        <v>127.41999816894531</v>
      </c>
      <c r="G110">
        <v>343.04998779296875</v>
      </c>
      <c r="H110" t="s">
        <v>15</v>
      </c>
      <c r="I110" t="str">
        <f>TEXT(tblSales[[#This Row],[OrderDate]],"yyyy-mm")</f>
        <v>2020-10</v>
      </c>
    </row>
    <row r="111" spans="1:9" x14ac:dyDescent="0.3">
      <c r="A111" s="1">
        <v>45579</v>
      </c>
      <c r="B111" t="s">
        <v>91</v>
      </c>
      <c r="C111" t="s">
        <v>25</v>
      </c>
      <c r="D111" t="s">
        <v>34</v>
      </c>
      <c r="E111">
        <v>5</v>
      </c>
      <c r="F111">
        <v>520.69000244140625</v>
      </c>
      <c r="G111">
        <v>2743.60009765625</v>
      </c>
      <c r="H111" t="s">
        <v>11</v>
      </c>
      <c r="I111" t="str">
        <f>TEXT(tblSales[[#This Row],[OrderDate]],"yyyy-mm")</f>
        <v>2024-10</v>
      </c>
    </row>
    <row r="112" spans="1:9" x14ac:dyDescent="0.3">
      <c r="A112" s="1">
        <v>44550</v>
      </c>
      <c r="B112" t="s">
        <v>65</v>
      </c>
      <c r="C112" t="s">
        <v>22</v>
      </c>
      <c r="D112" t="s">
        <v>18</v>
      </c>
      <c r="E112">
        <v>5</v>
      </c>
      <c r="F112">
        <v>61.479999542236328</v>
      </c>
      <c r="G112">
        <v>365.3699951171875</v>
      </c>
      <c r="H112" t="s">
        <v>15</v>
      </c>
      <c r="I112" t="str">
        <f>TEXT(tblSales[[#This Row],[OrderDate]],"yyyy-mm")</f>
        <v>2021-12</v>
      </c>
    </row>
    <row r="113" spans="1:9" x14ac:dyDescent="0.3">
      <c r="A113" s="1">
        <v>45603</v>
      </c>
      <c r="B113" t="s">
        <v>59</v>
      </c>
      <c r="C113" t="s">
        <v>85</v>
      </c>
      <c r="D113" t="s">
        <v>10</v>
      </c>
      <c r="E113">
        <v>5</v>
      </c>
      <c r="F113">
        <v>314</v>
      </c>
      <c r="G113">
        <v>1860.739990234375</v>
      </c>
      <c r="H113" t="s">
        <v>15</v>
      </c>
      <c r="I113" t="str">
        <f>TEXT(tblSales[[#This Row],[OrderDate]],"yyyy-mm")</f>
        <v>2024-11</v>
      </c>
    </row>
    <row r="114" spans="1:9" x14ac:dyDescent="0.3">
      <c r="A114" s="1">
        <v>44168</v>
      </c>
      <c r="B114" t="s">
        <v>146</v>
      </c>
      <c r="C114" t="s">
        <v>147</v>
      </c>
      <c r="D114" t="s">
        <v>34</v>
      </c>
      <c r="E114">
        <v>4</v>
      </c>
      <c r="F114">
        <v>189.69999694824219</v>
      </c>
      <c r="G114">
        <v>610.760009765625</v>
      </c>
      <c r="H114" t="s">
        <v>15</v>
      </c>
      <c r="I114" t="str">
        <f>TEXT(tblSales[[#This Row],[OrderDate]],"yyyy-mm")</f>
        <v>2020-12</v>
      </c>
    </row>
    <row r="115" spans="1:9" x14ac:dyDescent="0.3">
      <c r="A115" s="1">
        <v>44709</v>
      </c>
      <c r="B115" t="s">
        <v>148</v>
      </c>
      <c r="C115" t="s">
        <v>64</v>
      </c>
      <c r="D115" t="s">
        <v>18</v>
      </c>
      <c r="E115">
        <v>2</v>
      </c>
      <c r="F115">
        <v>103.29000091552734</v>
      </c>
      <c r="G115">
        <v>165.80999755859375</v>
      </c>
      <c r="H115" t="s">
        <v>15</v>
      </c>
      <c r="I115" t="str">
        <f>TEXT(tblSales[[#This Row],[OrderDate]],"yyyy-mm")</f>
        <v>2022-05</v>
      </c>
    </row>
    <row r="116" spans="1:9" x14ac:dyDescent="0.3">
      <c r="A116" s="1">
        <v>44907</v>
      </c>
      <c r="B116" t="s">
        <v>102</v>
      </c>
      <c r="C116" t="s">
        <v>94</v>
      </c>
      <c r="D116" t="s">
        <v>14</v>
      </c>
      <c r="E116">
        <v>3</v>
      </c>
      <c r="F116">
        <v>167.08000183105469</v>
      </c>
      <c r="G116">
        <v>548.6300048828125</v>
      </c>
      <c r="H116" t="s">
        <v>15</v>
      </c>
      <c r="I116" t="str">
        <f>TEXT(tblSales[[#This Row],[OrderDate]],"yyyy-mm")</f>
        <v>2022-12</v>
      </c>
    </row>
    <row r="117" spans="1:9" x14ac:dyDescent="0.3">
      <c r="A117" s="1">
        <v>44622</v>
      </c>
      <c r="B117" t="s">
        <v>149</v>
      </c>
      <c r="C117" t="s">
        <v>60</v>
      </c>
      <c r="D117" t="s">
        <v>34</v>
      </c>
      <c r="E117">
        <v>4</v>
      </c>
      <c r="F117">
        <v>468.57000732421875</v>
      </c>
      <c r="G117">
        <v>1490.6300048828125</v>
      </c>
      <c r="H117" t="s">
        <v>15</v>
      </c>
      <c r="I117" t="str">
        <f>TEXT(tblSales[[#This Row],[OrderDate]],"yyyy-mm")</f>
        <v>2022-03</v>
      </c>
    </row>
    <row r="118" spans="1:9" x14ac:dyDescent="0.3">
      <c r="A118" s="1">
        <v>44047</v>
      </c>
      <c r="B118" t="s">
        <v>49</v>
      </c>
      <c r="C118" t="s">
        <v>40</v>
      </c>
      <c r="D118" t="s">
        <v>18</v>
      </c>
      <c r="E118">
        <v>2</v>
      </c>
      <c r="F118">
        <v>25.309999465942383</v>
      </c>
      <c r="G118">
        <v>65.30999755859375</v>
      </c>
      <c r="H118" t="s">
        <v>15</v>
      </c>
      <c r="I118" t="str">
        <f>TEXT(tblSales[[#This Row],[OrderDate]],"yyyy-mm")</f>
        <v>2020-08</v>
      </c>
    </row>
    <row r="119" spans="1:9" x14ac:dyDescent="0.3">
      <c r="A119" s="1">
        <v>44594</v>
      </c>
      <c r="B119" t="s">
        <v>150</v>
      </c>
      <c r="C119" t="s">
        <v>73</v>
      </c>
      <c r="D119" t="s">
        <v>34</v>
      </c>
      <c r="E119">
        <v>2</v>
      </c>
      <c r="F119">
        <v>590.96002197265625</v>
      </c>
      <c r="G119">
        <v>1263.06005859375</v>
      </c>
      <c r="H119" t="s">
        <v>15</v>
      </c>
      <c r="I119" t="str">
        <f>TEXT(tblSales[[#This Row],[OrderDate]],"yyyy-mm")</f>
        <v>2022-02</v>
      </c>
    </row>
    <row r="120" spans="1:9" x14ac:dyDescent="0.3">
      <c r="A120" s="1">
        <v>44018</v>
      </c>
      <c r="B120" t="s">
        <v>37</v>
      </c>
      <c r="C120" t="s">
        <v>89</v>
      </c>
      <c r="D120" t="s">
        <v>14</v>
      </c>
      <c r="E120">
        <v>2</v>
      </c>
      <c r="F120">
        <v>433.239990234375</v>
      </c>
      <c r="G120">
        <v>932.16998291015625</v>
      </c>
      <c r="H120" t="s">
        <v>15</v>
      </c>
      <c r="I120" t="str">
        <f>TEXT(tblSales[[#This Row],[OrderDate]],"yyyy-mm")</f>
        <v>2020-07</v>
      </c>
    </row>
    <row r="121" spans="1:9" x14ac:dyDescent="0.3">
      <c r="A121" s="1">
        <v>44210</v>
      </c>
      <c r="B121" t="s">
        <v>92</v>
      </c>
      <c r="C121" t="s">
        <v>98</v>
      </c>
      <c r="D121" t="s">
        <v>10</v>
      </c>
      <c r="E121">
        <v>4</v>
      </c>
      <c r="F121">
        <v>187.75</v>
      </c>
      <c r="G121">
        <v>851.3900146484375</v>
      </c>
      <c r="H121" t="s">
        <v>15</v>
      </c>
      <c r="I121" t="str">
        <f>TEXT(tblSales[[#This Row],[OrderDate]],"yyyy-mm")</f>
        <v>2021-01</v>
      </c>
    </row>
    <row r="122" spans="1:9" x14ac:dyDescent="0.3">
      <c r="A122" s="1">
        <v>44323</v>
      </c>
      <c r="B122" t="s">
        <v>151</v>
      </c>
      <c r="C122" t="s">
        <v>129</v>
      </c>
      <c r="D122" t="s">
        <v>31</v>
      </c>
      <c r="E122">
        <v>5</v>
      </c>
      <c r="F122">
        <v>230.99000549316406</v>
      </c>
      <c r="G122">
        <v>1110.199951171875</v>
      </c>
      <c r="H122" t="s">
        <v>15</v>
      </c>
      <c r="I122" t="str">
        <f>TEXT(tblSales[[#This Row],[OrderDate]],"yyyy-mm")</f>
        <v>2021-05</v>
      </c>
    </row>
    <row r="123" spans="1:9" x14ac:dyDescent="0.3">
      <c r="A123" s="1">
        <v>44895</v>
      </c>
      <c r="B123" t="s">
        <v>152</v>
      </c>
      <c r="C123" t="s">
        <v>62</v>
      </c>
      <c r="D123" t="s">
        <v>34</v>
      </c>
      <c r="E123">
        <v>5</v>
      </c>
      <c r="F123">
        <v>246.1300048828125</v>
      </c>
      <c r="G123">
        <v>1117.280029296875</v>
      </c>
      <c r="H123" t="s">
        <v>23</v>
      </c>
      <c r="I123" t="str">
        <f>TEXT(tblSales[[#This Row],[OrderDate]],"yyyy-mm")</f>
        <v>2022-11</v>
      </c>
    </row>
    <row r="124" spans="1:9" x14ac:dyDescent="0.3">
      <c r="A124" s="1">
        <v>45011</v>
      </c>
      <c r="B124" t="s">
        <v>71</v>
      </c>
      <c r="C124" t="s">
        <v>98</v>
      </c>
      <c r="D124" t="s">
        <v>14</v>
      </c>
      <c r="E124">
        <v>1</v>
      </c>
      <c r="F124">
        <v>18.659999847412109</v>
      </c>
      <c r="G124">
        <v>24.620000839233398</v>
      </c>
      <c r="H124" t="s">
        <v>15</v>
      </c>
      <c r="I124" t="str">
        <f>TEXT(tblSales[[#This Row],[OrderDate]],"yyyy-mm")</f>
        <v>2023-03</v>
      </c>
    </row>
    <row r="125" spans="1:9" x14ac:dyDescent="0.3">
      <c r="A125" s="1">
        <v>43845</v>
      </c>
      <c r="B125" t="s">
        <v>57</v>
      </c>
      <c r="C125" t="s">
        <v>136</v>
      </c>
      <c r="D125" t="s">
        <v>18</v>
      </c>
      <c r="E125">
        <v>2</v>
      </c>
      <c r="F125">
        <v>48.990001678466797</v>
      </c>
      <c r="G125">
        <v>78.739997863769531</v>
      </c>
      <c r="H125" t="s">
        <v>15</v>
      </c>
      <c r="I125" t="str">
        <f>TEXT(tblSales[[#This Row],[OrderDate]],"yyyy-mm")</f>
        <v>2020-01</v>
      </c>
    </row>
    <row r="126" spans="1:9" x14ac:dyDescent="0.3">
      <c r="A126" s="1">
        <v>43895</v>
      </c>
      <c r="B126" t="s">
        <v>8</v>
      </c>
      <c r="C126" t="s">
        <v>60</v>
      </c>
      <c r="D126" t="s">
        <v>34</v>
      </c>
      <c r="E126">
        <v>5</v>
      </c>
      <c r="F126">
        <v>200.05000305175781</v>
      </c>
      <c r="G126">
        <v>1066.6099853515625</v>
      </c>
      <c r="H126" t="s">
        <v>67</v>
      </c>
      <c r="I126" t="str">
        <f>TEXT(tblSales[[#This Row],[OrderDate]],"yyyy-mm")</f>
        <v>2020-03</v>
      </c>
    </row>
    <row r="127" spans="1:9" x14ac:dyDescent="0.3">
      <c r="A127" s="1">
        <v>44351</v>
      </c>
      <c r="B127" t="s">
        <v>153</v>
      </c>
      <c r="C127" t="s">
        <v>62</v>
      </c>
      <c r="D127" t="s">
        <v>53</v>
      </c>
      <c r="E127">
        <v>4</v>
      </c>
      <c r="F127">
        <v>149.47000122070313</v>
      </c>
      <c r="G127">
        <v>680.1099853515625</v>
      </c>
      <c r="H127" t="s">
        <v>15</v>
      </c>
      <c r="I127" t="str">
        <f>TEXT(tblSales[[#This Row],[OrderDate]],"yyyy-mm")</f>
        <v>2021-06</v>
      </c>
    </row>
    <row r="128" spans="1:9" x14ac:dyDescent="0.3">
      <c r="A128" s="1">
        <v>45198</v>
      </c>
      <c r="B128" t="s">
        <v>154</v>
      </c>
      <c r="C128" t="s">
        <v>107</v>
      </c>
      <c r="D128" t="s">
        <v>34</v>
      </c>
      <c r="E128">
        <v>3</v>
      </c>
      <c r="F128">
        <v>460.510009765625</v>
      </c>
      <c r="G128">
        <v>1473.1099853515625</v>
      </c>
      <c r="H128" t="s">
        <v>15</v>
      </c>
      <c r="I128" t="str">
        <f>TEXT(tblSales[[#This Row],[OrderDate]],"yyyy-mm")</f>
        <v>2023-09</v>
      </c>
    </row>
    <row r="129" spans="1:9" x14ac:dyDescent="0.3">
      <c r="A129" s="1">
        <v>44983</v>
      </c>
      <c r="B129" t="s">
        <v>44</v>
      </c>
      <c r="C129" t="s">
        <v>98</v>
      </c>
      <c r="D129" t="s">
        <v>14</v>
      </c>
      <c r="E129">
        <v>5</v>
      </c>
      <c r="F129">
        <v>141.30999755859375</v>
      </c>
      <c r="G129">
        <v>687.20001220703125</v>
      </c>
      <c r="H129" t="s">
        <v>15</v>
      </c>
      <c r="I129" t="str">
        <f>TEXT(tblSales[[#This Row],[OrderDate]],"yyyy-mm")</f>
        <v>2023-02</v>
      </c>
    </row>
    <row r="130" spans="1:9" x14ac:dyDescent="0.3">
      <c r="A130" s="1">
        <v>44478</v>
      </c>
      <c r="B130" t="s">
        <v>155</v>
      </c>
      <c r="C130" t="s">
        <v>56</v>
      </c>
      <c r="D130" t="s">
        <v>10</v>
      </c>
      <c r="E130">
        <v>3</v>
      </c>
      <c r="F130">
        <v>204.14999389648438</v>
      </c>
      <c r="G130">
        <v>627.44000244140625</v>
      </c>
      <c r="H130" t="s">
        <v>15</v>
      </c>
      <c r="I130" t="str">
        <f>TEXT(tblSales[[#This Row],[OrderDate]],"yyyy-mm")</f>
        <v>2021-10</v>
      </c>
    </row>
    <row r="131" spans="1:9" x14ac:dyDescent="0.3">
      <c r="A131" s="1">
        <v>45326</v>
      </c>
      <c r="B131" t="s">
        <v>156</v>
      </c>
      <c r="C131" t="s">
        <v>82</v>
      </c>
      <c r="D131" t="s">
        <v>10</v>
      </c>
      <c r="E131">
        <v>4</v>
      </c>
      <c r="F131">
        <v>577.3599853515625</v>
      </c>
      <c r="G131">
        <v>1944.010009765625</v>
      </c>
      <c r="H131" t="s">
        <v>15</v>
      </c>
      <c r="I131" t="str">
        <f>TEXT(tblSales[[#This Row],[OrderDate]],"yyyy-mm")</f>
        <v>2024-02</v>
      </c>
    </row>
    <row r="132" spans="1:9" x14ac:dyDescent="0.3">
      <c r="A132" s="1">
        <v>44917</v>
      </c>
      <c r="B132" t="s">
        <v>157</v>
      </c>
      <c r="C132" t="s">
        <v>98</v>
      </c>
      <c r="D132" t="s">
        <v>53</v>
      </c>
      <c r="E132">
        <v>2</v>
      </c>
      <c r="F132">
        <v>509.26998901367188</v>
      </c>
      <c r="G132">
        <v>1025.25</v>
      </c>
      <c r="H132" t="s">
        <v>15</v>
      </c>
      <c r="I132" t="str">
        <f>TEXT(tblSales[[#This Row],[OrderDate]],"yyyy-mm")</f>
        <v>2022-12</v>
      </c>
    </row>
    <row r="133" spans="1:9" x14ac:dyDescent="0.3">
      <c r="A133" s="1">
        <v>44993</v>
      </c>
      <c r="B133" t="s">
        <v>158</v>
      </c>
      <c r="C133" t="s">
        <v>30</v>
      </c>
      <c r="D133" t="s">
        <v>18</v>
      </c>
      <c r="E133">
        <v>3</v>
      </c>
      <c r="F133">
        <v>496.1199951171875</v>
      </c>
      <c r="G133">
        <v>1568.68994140625</v>
      </c>
      <c r="H133" t="s">
        <v>28</v>
      </c>
      <c r="I133" t="str">
        <f>TEXT(tblSales[[#This Row],[OrderDate]],"yyyy-mm")</f>
        <v>2023-03</v>
      </c>
    </row>
    <row r="134" spans="1:9" x14ac:dyDescent="0.3">
      <c r="A134" s="1">
        <v>45353</v>
      </c>
      <c r="B134" t="s">
        <v>72</v>
      </c>
      <c r="C134" t="s">
        <v>122</v>
      </c>
      <c r="D134" t="s">
        <v>18</v>
      </c>
      <c r="E134">
        <v>3</v>
      </c>
      <c r="F134">
        <v>497.739990234375</v>
      </c>
      <c r="G134">
        <v>1679.989990234375</v>
      </c>
      <c r="H134" t="s">
        <v>15</v>
      </c>
      <c r="I134" t="str">
        <f>TEXT(tblSales[[#This Row],[OrderDate]],"yyyy-mm")</f>
        <v>2024-03</v>
      </c>
    </row>
    <row r="135" spans="1:9" x14ac:dyDescent="0.3">
      <c r="A135" s="1">
        <v>44423</v>
      </c>
      <c r="B135" t="s">
        <v>159</v>
      </c>
      <c r="C135" t="s">
        <v>136</v>
      </c>
      <c r="D135" t="s">
        <v>10</v>
      </c>
      <c r="E135">
        <v>4</v>
      </c>
      <c r="F135">
        <v>384.80999755859375</v>
      </c>
      <c r="G135">
        <v>1737.06005859375</v>
      </c>
      <c r="H135" t="s">
        <v>15</v>
      </c>
      <c r="I135" t="str">
        <f>TEXT(tblSales[[#This Row],[OrderDate]],"yyyy-mm")</f>
        <v>2021-08</v>
      </c>
    </row>
    <row r="136" spans="1:9" x14ac:dyDescent="0.3">
      <c r="A136" s="1">
        <v>44222</v>
      </c>
      <c r="B136" t="s">
        <v>160</v>
      </c>
      <c r="C136" t="s">
        <v>58</v>
      </c>
      <c r="D136" t="s">
        <v>31</v>
      </c>
      <c r="E136">
        <v>2</v>
      </c>
      <c r="F136">
        <v>321.45999145507813</v>
      </c>
      <c r="G136">
        <v>653.47998046875</v>
      </c>
      <c r="H136" t="s">
        <v>11</v>
      </c>
      <c r="I136" t="str">
        <f>TEXT(tblSales[[#This Row],[OrderDate]],"yyyy-mm")</f>
        <v>2021-01</v>
      </c>
    </row>
    <row r="137" spans="1:9" x14ac:dyDescent="0.3">
      <c r="A137" s="1">
        <v>45529</v>
      </c>
      <c r="B137" t="s">
        <v>161</v>
      </c>
      <c r="C137" t="s">
        <v>162</v>
      </c>
      <c r="D137" t="s">
        <v>31</v>
      </c>
      <c r="E137">
        <v>5</v>
      </c>
      <c r="F137">
        <v>498.260009765625</v>
      </c>
      <c r="G137">
        <v>2559.719970703125</v>
      </c>
      <c r="H137" t="s">
        <v>67</v>
      </c>
      <c r="I137" t="str">
        <f>TEXT(tblSales[[#This Row],[OrderDate]],"yyyy-mm")</f>
        <v>2024-08</v>
      </c>
    </row>
    <row r="138" spans="1:9" x14ac:dyDescent="0.3">
      <c r="A138" s="1">
        <v>44249</v>
      </c>
      <c r="B138" t="s">
        <v>163</v>
      </c>
      <c r="C138" t="s">
        <v>99</v>
      </c>
      <c r="D138" t="s">
        <v>10</v>
      </c>
      <c r="E138">
        <v>5</v>
      </c>
      <c r="F138">
        <v>211.8800048828125</v>
      </c>
      <c r="G138">
        <v>1039.489990234375</v>
      </c>
      <c r="H138" t="s">
        <v>15</v>
      </c>
      <c r="I138" t="str">
        <f>TEXT(tblSales[[#This Row],[OrderDate]],"yyyy-mm")</f>
        <v>2021-02</v>
      </c>
    </row>
    <row r="139" spans="1:9" x14ac:dyDescent="0.3">
      <c r="A139" s="1">
        <v>44119</v>
      </c>
      <c r="B139" t="s">
        <v>164</v>
      </c>
      <c r="C139" t="s">
        <v>27</v>
      </c>
      <c r="D139" t="s">
        <v>18</v>
      </c>
      <c r="E139">
        <v>2</v>
      </c>
      <c r="F139">
        <v>333.8800048828125</v>
      </c>
      <c r="G139">
        <v>644.97998046875</v>
      </c>
      <c r="H139" t="s">
        <v>11</v>
      </c>
      <c r="I139" t="str">
        <f>TEXT(tblSales[[#This Row],[OrderDate]],"yyyy-mm")</f>
        <v>2020-10</v>
      </c>
    </row>
    <row r="140" spans="1:9" x14ac:dyDescent="0.3">
      <c r="A140" s="1">
        <v>44209</v>
      </c>
      <c r="B140" t="s">
        <v>137</v>
      </c>
      <c r="C140" t="s">
        <v>82</v>
      </c>
      <c r="D140" t="s">
        <v>53</v>
      </c>
      <c r="E140">
        <v>2</v>
      </c>
      <c r="F140">
        <v>522.6500244140625</v>
      </c>
      <c r="G140">
        <v>1086.3299560546875</v>
      </c>
      <c r="H140" t="s">
        <v>15</v>
      </c>
      <c r="I140" t="str">
        <f>TEXT(tblSales[[#This Row],[OrderDate]],"yyyy-mm")</f>
        <v>2021-01</v>
      </c>
    </row>
    <row r="141" spans="1:9" x14ac:dyDescent="0.3">
      <c r="A141" s="1">
        <v>45627</v>
      </c>
      <c r="B141" t="s">
        <v>140</v>
      </c>
      <c r="C141" t="s">
        <v>103</v>
      </c>
      <c r="D141" t="s">
        <v>31</v>
      </c>
      <c r="E141">
        <v>4</v>
      </c>
      <c r="F141">
        <v>67.779998779296875</v>
      </c>
      <c r="G141">
        <v>289.33999633789063</v>
      </c>
      <c r="H141" t="s">
        <v>15</v>
      </c>
      <c r="I141" t="str">
        <f>TEXT(tblSales[[#This Row],[OrderDate]],"yyyy-mm")</f>
        <v>2024-12</v>
      </c>
    </row>
    <row r="142" spans="1:9" x14ac:dyDescent="0.3">
      <c r="A142" s="1">
        <v>45344</v>
      </c>
      <c r="B142" t="s">
        <v>165</v>
      </c>
      <c r="C142" t="s">
        <v>80</v>
      </c>
      <c r="D142" t="s">
        <v>10</v>
      </c>
      <c r="E142">
        <v>5</v>
      </c>
      <c r="F142">
        <v>22.670000076293945</v>
      </c>
      <c r="G142">
        <v>126.51000213623047</v>
      </c>
      <c r="H142" t="s">
        <v>15</v>
      </c>
      <c r="I142" t="str">
        <f>TEXT(tblSales[[#This Row],[OrderDate]],"yyyy-mm")</f>
        <v>2024-02</v>
      </c>
    </row>
    <row r="143" spans="1:9" x14ac:dyDescent="0.3">
      <c r="A143" s="1">
        <v>44061</v>
      </c>
      <c r="B143" t="s">
        <v>166</v>
      </c>
      <c r="C143" t="s">
        <v>129</v>
      </c>
      <c r="D143" t="s">
        <v>14</v>
      </c>
      <c r="E143">
        <v>5</v>
      </c>
      <c r="F143">
        <v>544.52001953125</v>
      </c>
      <c r="G143">
        <v>2289.77001953125</v>
      </c>
      <c r="H143" t="s">
        <v>15</v>
      </c>
      <c r="I143" t="str">
        <f>TEXT(tblSales[[#This Row],[OrderDate]],"yyyy-mm")</f>
        <v>2020-08</v>
      </c>
    </row>
    <row r="144" spans="1:9" x14ac:dyDescent="0.3">
      <c r="A144" s="1">
        <v>44848</v>
      </c>
      <c r="B144" t="s">
        <v>167</v>
      </c>
      <c r="C144" t="s">
        <v>38</v>
      </c>
      <c r="D144" t="s">
        <v>53</v>
      </c>
      <c r="E144">
        <v>1</v>
      </c>
      <c r="F144">
        <v>431.010009765625</v>
      </c>
      <c r="G144">
        <v>433.239990234375</v>
      </c>
      <c r="H144" t="s">
        <v>15</v>
      </c>
      <c r="I144" t="str">
        <f>TEXT(tblSales[[#This Row],[OrderDate]],"yyyy-mm")</f>
        <v>2022-10</v>
      </c>
    </row>
    <row r="145" spans="1:9" x14ac:dyDescent="0.3">
      <c r="A145" s="1">
        <v>43871</v>
      </c>
      <c r="B145" t="s">
        <v>168</v>
      </c>
      <c r="C145" t="s">
        <v>99</v>
      </c>
      <c r="D145" t="s">
        <v>10</v>
      </c>
      <c r="E145">
        <v>3</v>
      </c>
      <c r="F145">
        <v>346.55999755859375</v>
      </c>
      <c r="G145">
        <v>929.77001953125</v>
      </c>
      <c r="H145" t="s">
        <v>15</v>
      </c>
      <c r="I145" t="str">
        <f>TEXT(tblSales[[#This Row],[OrderDate]],"yyyy-mm")</f>
        <v>2020-02</v>
      </c>
    </row>
    <row r="146" spans="1:9" x14ac:dyDescent="0.3">
      <c r="A146" s="1">
        <v>44882</v>
      </c>
      <c r="B146" t="s">
        <v>115</v>
      </c>
      <c r="C146" t="s">
        <v>50</v>
      </c>
      <c r="D146" t="s">
        <v>10</v>
      </c>
      <c r="E146">
        <v>1</v>
      </c>
      <c r="F146">
        <v>87.790000915527344</v>
      </c>
      <c r="G146">
        <v>114.51000213623047</v>
      </c>
      <c r="H146" t="s">
        <v>67</v>
      </c>
      <c r="I146" t="str">
        <f>TEXT(tblSales[[#This Row],[OrderDate]],"yyyy-mm")</f>
        <v>2022-11</v>
      </c>
    </row>
    <row r="147" spans="1:9" x14ac:dyDescent="0.3">
      <c r="A147" s="1">
        <v>43965</v>
      </c>
      <c r="B147" t="s">
        <v>169</v>
      </c>
      <c r="C147" t="s">
        <v>82</v>
      </c>
      <c r="D147" t="s">
        <v>14</v>
      </c>
      <c r="E147">
        <v>4</v>
      </c>
      <c r="F147">
        <v>596.79998779296875</v>
      </c>
      <c r="G147">
        <v>2542.080078125</v>
      </c>
      <c r="H147" t="s">
        <v>11</v>
      </c>
      <c r="I147" t="str">
        <f>TEXT(tblSales[[#This Row],[OrderDate]],"yyyy-mm")</f>
        <v>2020-05</v>
      </c>
    </row>
    <row r="148" spans="1:9" x14ac:dyDescent="0.3">
      <c r="A148" s="1">
        <v>44031</v>
      </c>
      <c r="B148" t="s">
        <v>170</v>
      </c>
      <c r="C148" t="s">
        <v>82</v>
      </c>
      <c r="D148" t="s">
        <v>53</v>
      </c>
      <c r="E148">
        <v>1</v>
      </c>
      <c r="F148">
        <v>194.16999816894531</v>
      </c>
      <c r="G148">
        <v>209.21000671386719</v>
      </c>
      <c r="H148" t="s">
        <v>11</v>
      </c>
      <c r="I148" t="str">
        <f>TEXT(tblSales[[#This Row],[OrderDate]],"yyyy-mm")</f>
        <v>2020-07</v>
      </c>
    </row>
    <row r="149" spans="1:9" x14ac:dyDescent="0.3">
      <c r="A149" s="1">
        <v>44610</v>
      </c>
      <c r="B149" t="s">
        <v>171</v>
      </c>
      <c r="C149" t="s">
        <v>107</v>
      </c>
      <c r="D149" t="s">
        <v>18</v>
      </c>
      <c r="E149">
        <v>2</v>
      </c>
      <c r="F149">
        <v>42.520000457763672</v>
      </c>
      <c r="G149">
        <v>95.94000244140625</v>
      </c>
      <c r="H149" t="s">
        <v>15</v>
      </c>
      <c r="I149" t="str">
        <f>TEXT(tblSales[[#This Row],[OrderDate]],"yyyy-mm")</f>
        <v>2022-02</v>
      </c>
    </row>
    <row r="150" spans="1:9" x14ac:dyDescent="0.3">
      <c r="A150" s="1">
        <v>44760</v>
      </c>
      <c r="B150" t="s">
        <v>172</v>
      </c>
      <c r="C150" t="s">
        <v>80</v>
      </c>
      <c r="D150" t="s">
        <v>31</v>
      </c>
      <c r="E150">
        <v>3</v>
      </c>
      <c r="F150">
        <v>262.01998901367188</v>
      </c>
      <c r="G150">
        <v>795.510009765625</v>
      </c>
      <c r="H150" t="s">
        <v>15</v>
      </c>
      <c r="I150" t="str">
        <f>TEXT(tblSales[[#This Row],[OrderDate]],"yyyy-mm")</f>
        <v>2022-07</v>
      </c>
    </row>
    <row r="151" spans="1:9" x14ac:dyDescent="0.3">
      <c r="A151" s="1">
        <v>44887</v>
      </c>
      <c r="B151" t="s">
        <v>138</v>
      </c>
      <c r="C151" t="s">
        <v>89</v>
      </c>
      <c r="D151" t="s">
        <v>31</v>
      </c>
      <c r="E151">
        <v>3</v>
      </c>
      <c r="F151">
        <v>43.799999237060547</v>
      </c>
      <c r="G151">
        <v>148.13999938964844</v>
      </c>
      <c r="H151" t="s">
        <v>15</v>
      </c>
      <c r="I151" t="str">
        <f>TEXT(tblSales[[#This Row],[OrderDate]],"yyyy-mm")</f>
        <v>2022-11</v>
      </c>
    </row>
    <row r="152" spans="1:9" x14ac:dyDescent="0.3">
      <c r="A152" s="1">
        <v>44902</v>
      </c>
      <c r="B152" t="s">
        <v>173</v>
      </c>
      <c r="C152" t="s">
        <v>82</v>
      </c>
      <c r="D152" t="s">
        <v>18</v>
      </c>
      <c r="E152">
        <v>4</v>
      </c>
      <c r="F152">
        <v>306.010009765625</v>
      </c>
      <c r="G152">
        <v>908.90997314453125</v>
      </c>
      <c r="H152" t="s">
        <v>67</v>
      </c>
      <c r="I152" t="str">
        <f>TEXT(tblSales[[#This Row],[OrderDate]],"yyyy-mm")</f>
        <v>2022-12</v>
      </c>
    </row>
    <row r="153" spans="1:9" x14ac:dyDescent="0.3">
      <c r="A153" s="1">
        <v>44333</v>
      </c>
      <c r="B153" t="s">
        <v>170</v>
      </c>
      <c r="C153" t="s">
        <v>22</v>
      </c>
      <c r="D153" t="s">
        <v>34</v>
      </c>
      <c r="E153">
        <v>4</v>
      </c>
      <c r="F153">
        <v>251.60000610351563</v>
      </c>
      <c r="G153">
        <v>1028.199951171875</v>
      </c>
      <c r="H153" t="s">
        <v>67</v>
      </c>
      <c r="I153" t="str">
        <f>TEXT(tblSales[[#This Row],[OrderDate]],"yyyy-mm")</f>
        <v>2021-05</v>
      </c>
    </row>
    <row r="154" spans="1:9" x14ac:dyDescent="0.3">
      <c r="A154" s="1">
        <v>44237</v>
      </c>
      <c r="B154" t="s">
        <v>106</v>
      </c>
      <c r="C154" t="s">
        <v>58</v>
      </c>
      <c r="D154" t="s">
        <v>53</v>
      </c>
      <c r="E154">
        <v>3</v>
      </c>
      <c r="F154">
        <v>431.79000854492188</v>
      </c>
      <c r="G154">
        <v>1371.3800048828125</v>
      </c>
      <c r="H154" t="s">
        <v>15</v>
      </c>
      <c r="I154" t="str">
        <f>TEXT(tblSales[[#This Row],[OrderDate]],"yyyy-mm")</f>
        <v>2021-02</v>
      </c>
    </row>
    <row r="155" spans="1:9" x14ac:dyDescent="0.3">
      <c r="A155" s="1">
        <v>45428</v>
      </c>
      <c r="B155" t="s">
        <v>137</v>
      </c>
      <c r="C155" t="s">
        <v>25</v>
      </c>
      <c r="D155" t="s">
        <v>10</v>
      </c>
      <c r="E155">
        <v>4</v>
      </c>
      <c r="F155">
        <v>291.1300048828125</v>
      </c>
      <c r="G155">
        <v>1041.8499755859375</v>
      </c>
      <c r="H155" t="s">
        <v>67</v>
      </c>
      <c r="I155" t="str">
        <f>TEXT(tblSales[[#This Row],[OrderDate]],"yyyy-mm")</f>
        <v>2024-05</v>
      </c>
    </row>
    <row r="156" spans="1:9" x14ac:dyDescent="0.3">
      <c r="A156" s="1">
        <v>45582</v>
      </c>
      <c r="B156" t="s">
        <v>46</v>
      </c>
      <c r="C156" t="s">
        <v>48</v>
      </c>
      <c r="D156" t="s">
        <v>18</v>
      </c>
      <c r="E156">
        <v>3</v>
      </c>
      <c r="F156">
        <v>414.45999145507813</v>
      </c>
      <c r="G156">
        <v>1049.1199951171875</v>
      </c>
      <c r="H156" t="s">
        <v>15</v>
      </c>
      <c r="I156" t="str">
        <f>TEXT(tblSales[[#This Row],[OrderDate]],"yyyy-mm")</f>
        <v>2024-10</v>
      </c>
    </row>
    <row r="157" spans="1:9" x14ac:dyDescent="0.3">
      <c r="A157" s="1">
        <v>44635</v>
      </c>
      <c r="B157" t="s">
        <v>174</v>
      </c>
      <c r="C157" t="s">
        <v>122</v>
      </c>
      <c r="D157" t="s">
        <v>53</v>
      </c>
      <c r="E157">
        <v>3</v>
      </c>
      <c r="F157">
        <v>180.8699951171875</v>
      </c>
      <c r="G157">
        <v>571.780029296875</v>
      </c>
      <c r="H157" t="s">
        <v>15</v>
      </c>
      <c r="I157" t="str">
        <f>TEXT(tblSales[[#This Row],[OrderDate]],"yyyy-mm")</f>
        <v>2022-03</v>
      </c>
    </row>
    <row r="158" spans="1:9" x14ac:dyDescent="0.3">
      <c r="A158" s="1">
        <v>43929</v>
      </c>
      <c r="B158" t="s">
        <v>141</v>
      </c>
      <c r="C158" t="s">
        <v>75</v>
      </c>
      <c r="D158" t="s">
        <v>34</v>
      </c>
      <c r="E158">
        <v>5</v>
      </c>
      <c r="F158">
        <v>104.18000030517578</v>
      </c>
      <c r="G158">
        <v>477.5</v>
      </c>
      <c r="H158" t="s">
        <v>67</v>
      </c>
      <c r="I158" t="str">
        <f>TEXT(tblSales[[#This Row],[OrderDate]],"yyyy-mm")</f>
        <v>2020-04</v>
      </c>
    </row>
    <row r="159" spans="1:9" x14ac:dyDescent="0.3">
      <c r="A159" s="1">
        <v>44514</v>
      </c>
      <c r="B159" t="s">
        <v>175</v>
      </c>
      <c r="C159" t="s">
        <v>70</v>
      </c>
      <c r="D159" t="s">
        <v>10</v>
      </c>
      <c r="E159">
        <v>2</v>
      </c>
      <c r="F159">
        <v>400.69000244140625</v>
      </c>
      <c r="G159">
        <v>789.6199951171875</v>
      </c>
      <c r="H159" t="s">
        <v>23</v>
      </c>
      <c r="I159" t="str">
        <f>TEXT(tblSales[[#This Row],[OrderDate]],"yyyy-mm")</f>
        <v>2021-11</v>
      </c>
    </row>
    <row r="160" spans="1:9" x14ac:dyDescent="0.3">
      <c r="A160" s="1">
        <v>44556</v>
      </c>
      <c r="B160" t="s">
        <v>176</v>
      </c>
      <c r="C160" t="s">
        <v>125</v>
      </c>
      <c r="D160" t="s">
        <v>14</v>
      </c>
      <c r="E160">
        <v>3</v>
      </c>
      <c r="F160">
        <v>479.989990234375</v>
      </c>
      <c r="G160">
        <v>1218.27001953125</v>
      </c>
      <c r="H160" t="s">
        <v>15</v>
      </c>
      <c r="I160" t="str">
        <f>TEXT(tblSales[[#This Row],[OrderDate]],"yyyy-mm")</f>
        <v>2021-12</v>
      </c>
    </row>
    <row r="161" spans="1:9" x14ac:dyDescent="0.3">
      <c r="A161" s="1">
        <v>45401</v>
      </c>
      <c r="B161" t="s">
        <v>49</v>
      </c>
      <c r="C161" t="s">
        <v>62</v>
      </c>
      <c r="D161" t="s">
        <v>34</v>
      </c>
      <c r="E161">
        <v>1</v>
      </c>
      <c r="F161">
        <v>247.53999328613281</v>
      </c>
      <c r="G161">
        <v>265.45001220703125</v>
      </c>
      <c r="H161" t="s">
        <v>15</v>
      </c>
      <c r="I161" t="str">
        <f>TEXT(tblSales[[#This Row],[OrderDate]],"yyyy-mm")</f>
        <v>2024-04</v>
      </c>
    </row>
    <row r="162" spans="1:9" x14ac:dyDescent="0.3">
      <c r="A162" s="1">
        <v>44791</v>
      </c>
      <c r="B162" t="s">
        <v>177</v>
      </c>
      <c r="C162" t="s">
        <v>122</v>
      </c>
      <c r="D162" t="s">
        <v>31</v>
      </c>
      <c r="E162">
        <v>3</v>
      </c>
      <c r="F162">
        <v>14.510000228881836</v>
      </c>
      <c r="G162">
        <v>47.130001068115234</v>
      </c>
      <c r="H162" t="s">
        <v>15</v>
      </c>
      <c r="I162" t="str">
        <f>TEXT(tblSales[[#This Row],[OrderDate]],"yyyy-mm")</f>
        <v>2022-08</v>
      </c>
    </row>
    <row r="163" spans="1:9" x14ac:dyDescent="0.3">
      <c r="A163" s="1">
        <v>45593</v>
      </c>
      <c r="B163" t="s">
        <v>178</v>
      </c>
      <c r="C163" t="s">
        <v>42</v>
      </c>
      <c r="D163" t="s">
        <v>53</v>
      </c>
      <c r="E163">
        <v>5</v>
      </c>
      <c r="F163">
        <v>216.33000183105469</v>
      </c>
      <c r="G163">
        <v>875.04998779296875</v>
      </c>
      <c r="H163" t="s">
        <v>15</v>
      </c>
      <c r="I163" t="str">
        <f>TEXT(tblSales[[#This Row],[OrderDate]],"yyyy-mm")</f>
        <v>2024-10</v>
      </c>
    </row>
    <row r="164" spans="1:9" x14ac:dyDescent="0.3">
      <c r="A164" s="1">
        <v>44443</v>
      </c>
      <c r="B164" t="s">
        <v>179</v>
      </c>
      <c r="C164" t="s">
        <v>50</v>
      </c>
      <c r="D164" t="s">
        <v>14</v>
      </c>
      <c r="E164">
        <v>3</v>
      </c>
      <c r="F164">
        <v>38.529998779296875</v>
      </c>
      <c r="G164">
        <v>129.77000427246094</v>
      </c>
      <c r="H164" t="s">
        <v>15</v>
      </c>
      <c r="I164" t="str">
        <f>TEXT(tblSales[[#This Row],[OrderDate]],"yyyy-mm")</f>
        <v>2021-09</v>
      </c>
    </row>
    <row r="165" spans="1:9" x14ac:dyDescent="0.3">
      <c r="A165" s="1">
        <v>45316</v>
      </c>
      <c r="B165" t="s">
        <v>81</v>
      </c>
      <c r="C165" t="s">
        <v>105</v>
      </c>
      <c r="D165" t="s">
        <v>53</v>
      </c>
      <c r="E165">
        <v>3</v>
      </c>
      <c r="F165">
        <v>465.66000366210938</v>
      </c>
      <c r="G165">
        <v>1321.030029296875</v>
      </c>
      <c r="H165" t="s">
        <v>15</v>
      </c>
      <c r="I165" t="str">
        <f>TEXT(tblSales[[#This Row],[OrderDate]],"yyyy-mm")</f>
        <v>2024-01</v>
      </c>
    </row>
    <row r="166" spans="1:9" x14ac:dyDescent="0.3">
      <c r="A166" s="1">
        <v>44473</v>
      </c>
      <c r="B166" t="s">
        <v>180</v>
      </c>
      <c r="C166" t="s">
        <v>82</v>
      </c>
      <c r="D166" t="s">
        <v>53</v>
      </c>
      <c r="E166">
        <v>5</v>
      </c>
      <c r="F166">
        <v>35.270000457763672</v>
      </c>
      <c r="G166">
        <v>210.5</v>
      </c>
      <c r="H166" t="s">
        <v>15</v>
      </c>
      <c r="I166" t="str">
        <f>TEXT(tblSales[[#This Row],[OrderDate]],"yyyy-mm")</f>
        <v>2021-10</v>
      </c>
    </row>
    <row r="167" spans="1:9" x14ac:dyDescent="0.3">
      <c r="A167" s="1">
        <v>45623</v>
      </c>
      <c r="B167" t="s">
        <v>119</v>
      </c>
      <c r="C167" t="s">
        <v>181</v>
      </c>
      <c r="D167" t="s">
        <v>14</v>
      </c>
      <c r="E167">
        <v>2</v>
      </c>
      <c r="F167">
        <v>82.5</v>
      </c>
      <c r="G167">
        <v>189.35000610351563</v>
      </c>
      <c r="H167" t="s">
        <v>15</v>
      </c>
      <c r="I167" t="str">
        <f>TEXT(tblSales[[#This Row],[OrderDate]],"yyyy-mm")</f>
        <v>2024-11</v>
      </c>
    </row>
    <row r="168" spans="1:9" x14ac:dyDescent="0.3">
      <c r="A168" s="1">
        <v>44859</v>
      </c>
      <c r="B168" t="s">
        <v>154</v>
      </c>
      <c r="C168" t="s">
        <v>45</v>
      </c>
      <c r="D168" t="s">
        <v>14</v>
      </c>
      <c r="E168">
        <v>4</v>
      </c>
      <c r="F168">
        <v>298.95999145507813</v>
      </c>
      <c r="G168">
        <v>1165.989990234375</v>
      </c>
      <c r="H168" t="s">
        <v>15</v>
      </c>
      <c r="I168" t="str">
        <f>TEXT(tblSales[[#This Row],[OrderDate]],"yyyy-mm")</f>
        <v>2022-10</v>
      </c>
    </row>
    <row r="169" spans="1:9" x14ac:dyDescent="0.3">
      <c r="A169" s="1">
        <v>45072</v>
      </c>
      <c r="B169" t="s">
        <v>182</v>
      </c>
      <c r="C169" t="s">
        <v>82</v>
      </c>
      <c r="D169" t="s">
        <v>31</v>
      </c>
      <c r="E169">
        <v>5</v>
      </c>
      <c r="F169">
        <v>232.6199951171875</v>
      </c>
      <c r="G169">
        <v>1202.699951171875</v>
      </c>
      <c r="H169" t="s">
        <v>15</v>
      </c>
      <c r="I169" t="str">
        <f>TEXT(tblSales[[#This Row],[OrderDate]],"yyyy-mm")</f>
        <v>2023-05</v>
      </c>
    </row>
    <row r="170" spans="1:9" x14ac:dyDescent="0.3">
      <c r="A170" s="1">
        <v>44333</v>
      </c>
      <c r="B170" t="s">
        <v>83</v>
      </c>
      <c r="C170" t="s">
        <v>116</v>
      </c>
      <c r="D170" t="s">
        <v>10</v>
      </c>
      <c r="E170">
        <v>4</v>
      </c>
      <c r="F170">
        <v>493.20001220703125</v>
      </c>
      <c r="G170">
        <v>1771.3699951171875</v>
      </c>
      <c r="H170" t="s">
        <v>23</v>
      </c>
      <c r="I170" t="str">
        <f>TEXT(tblSales[[#This Row],[OrderDate]],"yyyy-mm")</f>
        <v>2021-05</v>
      </c>
    </row>
    <row r="171" spans="1:9" x14ac:dyDescent="0.3">
      <c r="A171" s="1">
        <v>44597</v>
      </c>
      <c r="B171" t="s">
        <v>96</v>
      </c>
      <c r="C171" t="s">
        <v>136</v>
      </c>
      <c r="D171" t="s">
        <v>18</v>
      </c>
      <c r="E171">
        <v>4</v>
      </c>
      <c r="F171">
        <v>497.42001342773438</v>
      </c>
      <c r="G171">
        <v>2129.360107421875</v>
      </c>
      <c r="H171" t="s">
        <v>23</v>
      </c>
      <c r="I171" t="str">
        <f>TEXT(tblSales[[#This Row],[OrderDate]],"yyyy-mm")</f>
        <v>2022-02</v>
      </c>
    </row>
    <row r="172" spans="1:9" x14ac:dyDescent="0.3">
      <c r="A172" s="1">
        <v>44228</v>
      </c>
      <c r="B172" t="s">
        <v>183</v>
      </c>
      <c r="C172" t="s">
        <v>98</v>
      </c>
      <c r="D172" t="s">
        <v>18</v>
      </c>
      <c r="E172">
        <v>1</v>
      </c>
      <c r="F172">
        <v>154.24000549316406</v>
      </c>
      <c r="G172">
        <v>173.97000122070313</v>
      </c>
      <c r="H172" t="s">
        <v>15</v>
      </c>
      <c r="I172" t="str">
        <f>TEXT(tblSales[[#This Row],[OrderDate]],"yyyy-mm")</f>
        <v>2021-02</v>
      </c>
    </row>
    <row r="173" spans="1:9" x14ac:dyDescent="0.3">
      <c r="A173" s="1">
        <v>44701</v>
      </c>
      <c r="B173" t="s">
        <v>35</v>
      </c>
      <c r="C173" t="s">
        <v>147</v>
      </c>
      <c r="D173" t="s">
        <v>34</v>
      </c>
      <c r="E173">
        <v>3</v>
      </c>
      <c r="F173">
        <v>497.51998901367188</v>
      </c>
      <c r="G173">
        <v>1497.949951171875</v>
      </c>
      <c r="H173" t="s">
        <v>15</v>
      </c>
      <c r="I173" t="str">
        <f>TEXT(tblSales[[#This Row],[OrderDate]],"yyyy-mm")</f>
        <v>2022-05</v>
      </c>
    </row>
    <row r="174" spans="1:9" x14ac:dyDescent="0.3">
      <c r="A174" s="1">
        <v>44625</v>
      </c>
      <c r="B174" t="s">
        <v>69</v>
      </c>
      <c r="C174" t="s">
        <v>48</v>
      </c>
      <c r="D174" t="s">
        <v>10</v>
      </c>
      <c r="E174">
        <v>4</v>
      </c>
      <c r="F174">
        <v>64.529998779296875</v>
      </c>
      <c r="G174">
        <v>271.79000854492188</v>
      </c>
      <c r="H174" t="s">
        <v>15</v>
      </c>
      <c r="I174" t="str">
        <f>TEXT(tblSales[[#This Row],[OrderDate]],"yyyy-mm")</f>
        <v>2022-03</v>
      </c>
    </row>
    <row r="175" spans="1:9" x14ac:dyDescent="0.3">
      <c r="A175" s="1">
        <v>44223</v>
      </c>
      <c r="B175" t="s">
        <v>184</v>
      </c>
      <c r="C175" t="s">
        <v>185</v>
      </c>
      <c r="D175" t="s">
        <v>53</v>
      </c>
      <c r="E175">
        <v>4</v>
      </c>
      <c r="F175">
        <v>331.20999145507813</v>
      </c>
      <c r="G175">
        <v>1396.97998046875</v>
      </c>
      <c r="H175" t="s">
        <v>15</v>
      </c>
      <c r="I175" t="str">
        <f>TEXT(tblSales[[#This Row],[OrderDate]],"yyyy-mm")</f>
        <v>2021-01</v>
      </c>
    </row>
    <row r="176" spans="1:9" x14ac:dyDescent="0.3">
      <c r="A176" s="1">
        <v>44037</v>
      </c>
      <c r="B176" t="s">
        <v>179</v>
      </c>
      <c r="C176" t="s">
        <v>82</v>
      </c>
      <c r="D176" t="s">
        <v>18</v>
      </c>
      <c r="E176">
        <v>4</v>
      </c>
      <c r="F176">
        <v>155.8699951171875</v>
      </c>
      <c r="G176">
        <v>596.97998046875</v>
      </c>
      <c r="H176" t="s">
        <v>15</v>
      </c>
      <c r="I176" t="str">
        <f>TEXT(tblSales[[#This Row],[OrderDate]],"yyyy-mm")</f>
        <v>2020-07</v>
      </c>
    </row>
    <row r="177" spans="1:9" x14ac:dyDescent="0.3">
      <c r="A177" s="1">
        <v>44869</v>
      </c>
      <c r="B177" t="s">
        <v>143</v>
      </c>
      <c r="C177" t="s">
        <v>110</v>
      </c>
      <c r="D177" t="s">
        <v>18</v>
      </c>
      <c r="E177">
        <v>1</v>
      </c>
      <c r="F177">
        <v>598.75</v>
      </c>
      <c r="G177">
        <v>569.16998291015625</v>
      </c>
      <c r="H177" t="s">
        <v>67</v>
      </c>
      <c r="I177" t="str">
        <f>TEXT(tblSales[[#This Row],[OrderDate]],"yyyy-mm")</f>
        <v>2022-11</v>
      </c>
    </row>
    <row r="178" spans="1:9" x14ac:dyDescent="0.3">
      <c r="A178" s="1">
        <v>45408</v>
      </c>
      <c r="B178" t="s">
        <v>186</v>
      </c>
      <c r="C178" t="s">
        <v>64</v>
      </c>
      <c r="D178" t="s">
        <v>53</v>
      </c>
      <c r="E178">
        <v>5</v>
      </c>
      <c r="F178">
        <v>489.41000366210938</v>
      </c>
      <c r="G178">
        <v>2610.89990234375</v>
      </c>
      <c r="H178" t="s">
        <v>15</v>
      </c>
      <c r="I178" t="str">
        <f>TEXT(tblSales[[#This Row],[OrderDate]],"yyyy-mm")</f>
        <v>2024-04</v>
      </c>
    </row>
    <row r="179" spans="1:9" x14ac:dyDescent="0.3">
      <c r="A179" s="1">
        <v>44722</v>
      </c>
      <c r="B179" t="s">
        <v>118</v>
      </c>
      <c r="C179" t="s">
        <v>73</v>
      </c>
      <c r="D179" t="s">
        <v>31</v>
      </c>
      <c r="E179">
        <v>4</v>
      </c>
      <c r="F179">
        <v>131.22000122070313</v>
      </c>
      <c r="G179">
        <v>486.510009765625</v>
      </c>
      <c r="H179" t="s">
        <v>11</v>
      </c>
      <c r="I179" t="str">
        <f>TEXT(tblSales[[#This Row],[OrderDate]],"yyyy-mm")</f>
        <v>2022-06</v>
      </c>
    </row>
    <row r="180" spans="1:9" x14ac:dyDescent="0.3">
      <c r="A180" s="1">
        <v>45315</v>
      </c>
      <c r="B180" t="s">
        <v>90</v>
      </c>
      <c r="C180" t="s">
        <v>9</v>
      </c>
      <c r="D180" t="s">
        <v>31</v>
      </c>
      <c r="E180">
        <v>2</v>
      </c>
      <c r="F180">
        <v>176.3800048828125</v>
      </c>
      <c r="G180">
        <v>372.98001098632813</v>
      </c>
      <c r="H180" t="s">
        <v>15</v>
      </c>
      <c r="I180" t="str">
        <f>TEXT(tblSales[[#This Row],[OrderDate]],"yyyy-mm")</f>
        <v>2024-01</v>
      </c>
    </row>
    <row r="181" spans="1:9" x14ac:dyDescent="0.3">
      <c r="A181" s="1">
        <v>45545</v>
      </c>
      <c r="B181" t="s">
        <v>111</v>
      </c>
      <c r="C181" t="s">
        <v>36</v>
      </c>
      <c r="D181" t="s">
        <v>34</v>
      </c>
      <c r="E181">
        <v>1</v>
      </c>
      <c r="F181">
        <v>418.70001220703125</v>
      </c>
      <c r="G181">
        <v>321.01998901367188</v>
      </c>
      <c r="H181" t="s">
        <v>15</v>
      </c>
      <c r="I181" t="str">
        <f>TEXT(tblSales[[#This Row],[OrderDate]],"yyyy-mm")</f>
        <v>2024-09</v>
      </c>
    </row>
    <row r="182" spans="1:9" x14ac:dyDescent="0.3">
      <c r="A182" s="1">
        <v>45429</v>
      </c>
      <c r="B182" t="s">
        <v>187</v>
      </c>
      <c r="C182" t="s">
        <v>56</v>
      </c>
      <c r="D182" t="s">
        <v>14</v>
      </c>
      <c r="E182">
        <v>2</v>
      </c>
      <c r="F182">
        <v>531.4000244140625</v>
      </c>
      <c r="G182">
        <v>1194.8299560546875</v>
      </c>
      <c r="H182" t="s">
        <v>15</v>
      </c>
      <c r="I182" t="str">
        <f>TEXT(tblSales[[#This Row],[OrderDate]],"yyyy-mm")</f>
        <v>2024-05</v>
      </c>
    </row>
    <row r="183" spans="1:9" x14ac:dyDescent="0.3">
      <c r="A183" s="1">
        <v>44694</v>
      </c>
      <c r="B183" t="s">
        <v>102</v>
      </c>
      <c r="C183" t="s">
        <v>98</v>
      </c>
      <c r="D183" t="s">
        <v>10</v>
      </c>
      <c r="E183">
        <v>5</v>
      </c>
      <c r="F183">
        <v>341.70001220703125</v>
      </c>
      <c r="G183">
        <v>1816.1300048828125</v>
      </c>
      <c r="H183" t="s">
        <v>15</v>
      </c>
      <c r="I183" t="str">
        <f>TEXT(tblSales[[#This Row],[OrderDate]],"yyyy-mm")</f>
        <v>2022-05</v>
      </c>
    </row>
    <row r="184" spans="1:9" x14ac:dyDescent="0.3">
      <c r="A184" s="1">
        <v>44573</v>
      </c>
      <c r="B184" t="s">
        <v>188</v>
      </c>
      <c r="C184" t="s">
        <v>105</v>
      </c>
      <c r="D184" t="s">
        <v>53</v>
      </c>
      <c r="E184">
        <v>2</v>
      </c>
      <c r="F184">
        <v>375.82000732421875</v>
      </c>
      <c r="G184">
        <v>763.30999755859375</v>
      </c>
      <c r="H184" t="s">
        <v>28</v>
      </c>
      <c r="I184" t="str">
        <f>TEXT(tblSales[[#This Row],[OrderDate]],"yyyy-mm")</f>
        <v>2022-01</v>
      </c>
    </row>
    <row r="185" spans="1:9" x14ac:dyDescent="0.3">
      <c r="A185" s="1">
        <v>45095</v>
      </c>
      <c r="B185" t="s">
        <v>165</v>
      </c>
      <c r="C185" t="s">
        <v>48</v>
      </c>
      <c r="D185" t="s">
        <v>14</v>
      </c>
      <c r="E185">
        <v>3</v>
      </c>
      <c r="F185">
        <v>99.260002136230469</v>
      </c>
      <c r="G185">
        <v>326.79000854492188</v>
      </c>
      <c r="H185" t="s">
        <v>15</v>
      </c>
      <c r="I185" t="str">
        <f>TEXT(tblSales[[#This Row],[OrderDate]],"yyyy-mm")</f>
        <v>2023-06</v>
      </c>
    </row>
    <row r="186" spans="1:9" x14ac:dyDescent="0.3">
      <c r="A186" s="1">
        <v>44394</v>
      </c>
      <c r="B186" t="s">
        <v>189</v>
      </c>
      <c r="C186" t="s">
        <v>122</v>
      </c>
      <c r="D186" t="s">
        <v>14</v>
      </c>
      <c r="E186">
        <v>2</v>
      </c>
      <c r="F186">
        <v>572.09002685546875</v>
      </c>
      <c r="G186">
        <v>1238.3499755859375</v>
      </c>
      <c r="H186" t="s">
        <v>15</v>
      </c>
      <c r="I186" t="str">
        <f>TEXT(tblSales[[#This Row],[OrderDate]],"yyyy-mm")</f>
        <v>2021-07</v>
      </c>
    </row>
    <row r="187" spans="1:9" x14ac:dyDescent="0.3">
      <c r="A187" s="1">
        <v>44851</v>
      </c>
      <c r="B187" t="s">
        <v>93</v>
      </c>
      <c r="C187" t="s">
        <v>40</v>
      </c>
      <c r="D187" t="s">
        <v>31</v>
      </c>
      <c r="E187">
        <v>2</v>
      </c>
      <c r="F187">
        <v>495.32000732421875</v>
      </c>
      <c r="G187">
        <v>1050.1800537109375</v>
      </c>
      <c r="H187" t="s">
        <v>15</v>
      </c>
      <c r="I187" t="str">
        <f>TEXT(tblSales[[#This Row],[OrderDate]],"yyyy-mm")</f>
        <v>2022-10</v>
      </c>
    </row>
    <row r="188" spans="1:9" x14ac:dyDescent="0.3">
      <c r="A188" s="1">
        <v>43926</v>
      </c>
      <c r="B188" t="s">
        <v>57</v>
      </c>
      <c r="C188" t="s">
        <v>99</v>
      </c>
      <c r="D188" t="s">
        <v>34</v>
      </c>
      <c r="E188">
        <v>2</v>
      </c>
      <c r="F188">
        <v>190.82000732421875</v>
      </c>
      <c r="G188">
        <v>328.16000366210938</v>
      </c>
      <c r="H188" t="s">
        <v>23</v>
      </c>
      <c r="I188" t="str">
        <f>TEXT(tblSales[[#This Row],[OrderDate]],"yyyy-mm")</f>
        <v>2020-04</v>
      </c>
    </row>
    <row r="189" spans="1:9" x14ac:dyDescent="0.3">
      <c r="A189" s="1">
        <v>45588</v>
      </c>
      <c r="B189" t="s">
        <v>160</v>
      </c>
      <c r="C189" t="s">
        <v>110</v>
      </c>
      <c r="D189" t="s">
        <v>14</v>
      </c>
      <c r="E189">
        <v>1</v>
      </c>
      <c r="F189">
        <v>50.919998168945313</v>
      </c>
      <c r="G189">
        <v>45.299999237060547</v>
      </c>
      <c r="H189" t="s">
        <v>15</v>
      </c>
      <c r="I189" t="str">
        <f>TEXT(tblSales[[#This Row],[OrderDate]],"yyyy-mm")</f>
        <v>2024-10</v>
      </c>
    </row>
    <row r="190" spans="1:9" x14ac:dyDescent="0.3">
      <c r="A190" s="1">
        <v>44315</v>
      </c>
      <c r="B190" t="s">
        <v>26</v>
      </c>
      <c r="C190" t="s">
        <v>52</v>
      </c>
      <c r="D190" t="s">
        <v>31</v>
      </c>
      <c r="E190">
        <v>5</v>
      </c>
      <c r="F190">
        <v>129.25</v>
      </c>
      <c r="G190">
        <v>599.489990234375</v>
      </c>
      <c r="H190" t="s">
        <v>15</v>
      </c>
      <c r="I190" t="str">
        <f>TEXT(tblSales[[#This Row],[OrderDate]],"yyyy-mm")</f>
        <v>2021-04</v>
      </c>
    </row>
    <row r="191" spans="1:9" x14ac:dyDescent="0.3">
      <c r="A191" s="1">
        <v>45261</v>
      </c>
      <c r="B191" t="s">
        <v>190</v>
      </c>
      <c r="C191" t="s">
        <v>38</v>
      </c>
      <c r="D191" t="s">
        <v>34</v>
      </c>
      <c r="E191">
        <v>3</v>
      </c>
      <c r="F191">
        <v>416.83999633789063</v>
      </c>
      <c r="G191">
        <v>1162.3800048828125</v>
      </c>
      <c r="H191" t="s">
        <v>15</v>
      </c>
      <c r="I191" t="str">
        <f>TEXT(tblSales[[#This Row],[OrderDate]],"yyyy-mm")</f>
        <v>2023-12</v>
      </c>
    </row>
    <row r="192" spans="1:9" x14ac:dyDescent="0.3">
      <c r="A192" s="1">
        <v>44061</v>
      </c>
      <c r="B192" t="s">
        <v>153</v>
      </c>
      <c r="C192" t="s">
        <v>27</v>
      </c>
      <c r="D192" t="s">
        <v>34</v>
      </c>
      <c r="E192">
        <v>5</v>
      </c>
      <c r="F192">
        <v>319.27999877929688</v>
      </c>
      <c r="G192">
        <v>1604.800048828125</v>
      </c>
      <c r="H192" t="s">
        <v>15</v>
      </c>
      <c r="I192" t="str">
        <f>TEXT(tblSales[[#This Row],[OrderDate]],"yyyy-mm")</f>
        <v>2020-08</v>
      </c>
    </row>
    <row r="193" spans="1:9" x14ac:dyDescent="0.3">
      <c r="A193" s="1">
        <v>44579</v>
      </c>
      <c r="B193" t="s">
        <v>55</v>
      </c>
      <c r="C193" t="s">
        <v>13</v>
      </c>
      <c r="D193" t="s">
        <v>10</v>
      </c>
      <c r="E193">
        <v>2</v>
      </c>
      <c r="F193">
        <v>67.540000915527344</v>
      </c>
      <c r="G193">
        <v>140.24000549316406</v>
      </c>
      <c r="H193" t="s">
        <v>23</v>
      </c>
      <c r="I193" t="str">
        <f>TEXT(tblSales[[#This Row],[OrderDate]],"yyyy-mm")</f>
        <v>2022-01</v>
      </c>
    </row>
    <row r="194" spans="1:9" x14ac:dyDescent="0.3">
      <c r="A194" s="1">
        <v>45509</v>
      </c>
      <c r="B194" t="s">
        <v>143</v>
      </c>
      <c r="C194" t="s">
        <v>94</v>
      </c>
      <c r="D194" t="s">
        <v>31</v>
      </c>
      <c r="E194">
        <v>2</v>
      </c>
      <c r="F194">
        <v>289.23001098632813</v>
      </c>
      <c r="G194">
        <v>533.69000244140625</v>
      </c>
      <c r="H194" t="s">
        <v>15</v>
      </c>
      <c r="I194" t="str">
        <f>TEXT(tblSales[[#This Row],[OrderDate]],"yyyy-mm")</f>
        <v>2024-08</v>
      </c>
    </row>
    <row r="195" spans="1:9" x14ac:dyDescent="0.3">
      <c r="A195" s="1">
        <v>45025</v>
      </c>
      <c r="B195" t="s">
        <v>151</v>
      </c>
      <c r="C195" t="s">
        <v>66</v>
      </c>
      <c r="D195" t="s">
        <v>14</v>
      </c>
      <c r="E195">
        <v>2</v>
      </c>
      <c r="F195">
        <v>373.57998657226563</v>
      </c>
      <c r="G195">
        <v>654.28997802734375</v>
      </c>
      <c r="H195" t="s">
        <v>15</v>
      </c>
      <c r="I195" t="str">
        <f>TEXT(tblSales[[#This Row],[OrderDate]],"yyyy-mm")</f>
        <v>2023-04</v>
      </c>
    </row>
    <row r="196" spans="1:9" x14ac:dyDescent="0.3">
      <c r="A196" s="1">
        <v>44371</v>
      </c>
      <c r="B196" t="s">
        <v>191</v>
      </c>
      <c r="C196" t="s">
        <v>89</v>
      </c>
      <c r="D196" t="s">
        <v>34</v>
      </c>
      <c r="E196">
        <v>4</v>
      </c>
      <c r="F196">
        <v>359.8900146484375</v>
      </c>
      <c r="G196">
        <v>1449.1099853515625</v>
      </c>
      <c r="H196" t="s">
        <v>15</v>
      </c>
      <c r="I196" t="str">
        <f>TEXT(tblSales[[#This Row],[OrderDate]],"yyyy-mm")</f>
        <v>2021-06</v>
      </c>
    </row>
    <row r="197" spans="1:9" x14ac:dyDescent="0.3">
      <c r="A197" s="1">
        <v>44890</v>
      </c>
      <c r="B197" t="s">
        <v>192</v>
      </c>
      <c r="C197" t="s">
        <v>122</v>
      </c>
      <c r="D197" t="s">
        <v>31</v>
      </c>
      <c r="E197">
        <v>5</v>
      </c>
      <c r="F197">
        <v>449.10000610351563</v>
      </c>
      <c r="G197">
        <v>2129.47998046875</v>
      </c>
      <c r="H197" t="s">
        <v>15</v>
      </c>
      <c r="I197" t="str">
        <f>TEXT(tblSales[[#This Row],[OrderDate]],"yyyy-mm")</f>
        <v>2022-11</v>
      </c>
    </row>
    <row r="198" spans="1:9" x14ac:dyDescent="0.3">
      <c r="A198" s="1">
        <v>44355</v>
      </c>
      <c r="B198" t="s">
        <v>77</v>
      </c>
      <c r="C198" t="s">
        <v>82</v>
      </c>
      <c r="D198" t="s">
        <v>53</v>
      </c>
      <c r="E198">
        <v>3</v>
      </c>
      <c r="F198">
        <v>270.41000366210938</v>
      </c>
      <c r="G198">
        <v>770.530029296875</v>
      </c>
      <c r="H198" t="s">
        <v>15</v>
      </c>
      <c r="I198" t="str">
        <f>TEXT(tblSales[[#This Row],[OrderDate]],"yyyy-mm")</f>
        <v>2021-06</v>
      </c>
    </row>
    <row r="199" spans="1:9" x14ac:dyDescent="0.3">
      <c r="A199" s="1">
        <v>45014</v>
      </c>
      <c r="B199" t="s">
        <v>71</v>
      </c>
      <c r="C199" t="s">
        <v>66</v>
      </c>
      <c r="D199" t="s">
        <v>14</v>
      </c>
      <c r="E199">
        <v>2</v>
      </c>
      <c r="F199">
        <v>387.30999755859375</v>
      </c>
      <c r="G199">
        <v>874.69000244140625</v>
      </c>
      <c r="H199" t="s">
        <v>15</v>
      </c>
      <c r="I199" t="str">
        <f>TEXT(tblSales[[#This Row],[OrderDate]],"yyyy-mm")</f>
        <v>2023-03</v>
      </c>
    </row>
    <row r="200" spans="1:9" x14ac:dyDescent="0.3">
      <c r="A200" s="1">
        <v>45553</v>
      </c>
      <c r="B200" t="s">
        <v>193</v>
      </c>
      <c r="C200" t="s">
        <v>134</v>
      </c>
      <c r="D200" t="s">
        <v>10</v>
      </c>
      <c r="E200">
        <v>3</v>
      </c>
      <c r="F200">
        <v>272.1400146484375</v>
      </c>
      <c r="G200">
        <v>925.54998779296875</v>
      </c>
      <c r="H200" t="s">
        <v>23</v>
      </c>
      <c r="I200" t="str">
        <f>TEXT(tblSales[[#This Row],[OrderDate]],"yyyy-mm")</f>
        <v>2024-09</v>
      </c>
    </row>
    <row r="201" spans="1:9" x14ac:dyDescent="0.3">
      <c r="A201" s="1">
        <v>45097</v>
      </c>
      <c r="B201" t="s">
        <v>106</v>
      </c>
      <c r="C201" t="s">
        <v>145</v>
      </c>
      <c r="D201" t="s">
        <v>14</v>
      </c>
      <c r="E201">
        <v>1</v>
      </c>
      <c r="F201">
        <v>420.6199951171875</v>
      </c>
      <c r="G201">
        <v>447.33999633789063</v>
      </c>
      <c r="H201" t="s">
        <v>15</v>
      </c>
      <c r="I201" t="str">
        <f>TEXT(tblSales[[#This Row],[OrderDate]],"yyyy-mm")</f>
        <v>2023-06</v>
      </c>
    </row>
    <row r="202" spans="1:9" x14ac:dyDescent="0.3">
      <c r="A202" s="1">
        <v>44940</v>
      </c>
      <c r="B202" t="s">
        <v>47</v>
      </c>
      <c r="C202" t="s">
        <v>33</v>
      </c>
      <c r="D202" t="s">
        <v>18</v>
      </c>
      <c r="E202">
        <v>4</v>
      </c>
      <c r="F202">
        <v>575.92999267578125</v>
      </c>
      <c r="G202">
        <v>2318.219970703125</v>
      </c>
      <c r="H202" t="s">
        <v>11</v>
      </c>
      <c r="I202" t="str">
        <f>TEXT(tblSales[[#This Row],[OrderDate]],"yyyy-mm")</f>
        <v>2023-01</v>
      </c>
    </row>
    <row r="203" spans="1:9" x14ac:dyDescent="0.3">
      <c r="A203" s="1">
        <v>45650</v>
      </c>
      <c r="B203" t="s">
        <v>194</v>
      </c>
      <c r="C203" t="s">
        <v>66</v>
      </c>
      <c r="D203" t="s">
        <v>31</v>
      </c>
      <c r="E203">
        <v>5</v>
      </c>
      <c r="F203">
        <v>167.97000122070313</v>
      </c>
      <c r="G203">
        <v>848.20001220703125</v>
      </c>
      <c r="H203" t="s">
        <v>15</v>
      </c>
      <c r="I203" t="str">
        <f>TEXT(tblSales[[#This Row],[OrderDate]],"yyyy-mm")</f>
        <v>2024-12</v>
      </c>
    </row>
    <row r="204" spans="1:9" x14ac:dyDescent="0.3">
      <c r="A204" s="1">
        <v>44408</v>
      </c>
      <c r="B204" t="s">
        <v>24</v>
      </c>
      <c r="C204" t="s">
        <v>62</v>
      </c>
      <c r="D204" t="s">
        <v>31</v>
      </c>
      <c r="E204">
        <v>5</v>
      </c>
      <c r="F204">
        <v>471.1400146484375</v>
      </c>
      <c r="G204">
        <v>2548.340087890625</v>
      </c>
      <c r="H204" t="s">
        <v>23</v>
      </c>
      <c r="I204" t="str">
        <f>TEXT(tblSales[[#This Row],[OrderDate]],"yyyy-mm")</f>
        <v>2021-07</v>
      </c>
    </row>
    <row r="205" spans="1:9" x14ac:dyDescent="0.3">
      <c r="A205" s="1">
        <v>44512</v>
      </c>
      <c r="B205" t="s">
        <v>76</v>
      </c>
      <c r="C205" t="s">
        <v>20</v>
      </c>
      <c r="D205" t="s">
        <v>31</v>
      </c>
      <c r="E205">
        <v>3</v>
      </c>
      <c r="F205">
        <v>461.70001220703125</v>
      </c>
      <c r="G205">
        <v>1395.2099609375</v>
      </c>
      <c r="H205" t="s">
        <v>11</v>
      </c>
      <c r="I205" t="str">
        <f>TEXT(tblSales[[#This Row],[OrderDate]],"yyyy-mm")</f>
        <v>2021-11</v>
      </c>
    </row>
    <row r="206" spans="1:9" x14ac:dyDescent="0.3">
      <c r="A206" s="1">
        <v>44387</v>
      </c>
      <c r="B206" t="s">
        <v>39</v>
      </c>
      <c r="C206" t="s">
        <v>64</v>
      </c>
      <c r="D206" t="s">
        <v>34</v>
      </c>
      <c r="E206">
        <v>2</v>
      </c>
      <c r="F206">
        <v>303.76998901367188</v>
      </c>
      <c r="G206">
        <v>489.89999389648438</v>
      </c>
      <c r="H206" t="s">
        <v>28</v>
      </c>
      <c r="I206" t="str">
        <f>TEXT(tblSales[[#This Row],[OrderDate]],"yyyy-mm")</f>
        <v>2021-07</v>
      </c>
    </row>
    <row r="207" spans="1:9" x14ac:dyDescent="0.3">
      <c r="A207" s="1">
        <v>45428</v>
      </c>
      <c r="B207" t="s">
        <v>93</v>
      </c>
      <c r="C207" t="s">
        <v>129</v>
      </c>
      <c r="D207" t="s">
        <v>53</v>
      </c>
      <c r="E207">
        <v>4</v>
      </c>
      <c r="F207">
        <v>312.3599853515625</v>
      </c>
      <c r="G207">
        <v>1127.02001953125</v>
      </c>
      <c r="H207" t="s">
        <v>15</v>
      </c>
      <c r="I207" t="str">
        <f>TEXT(tblSales[[#This Row],[OrderDate]],"yyyy-mm")</f>
        <v>2024-05</v>
      </c>
    </row>
    <row r="208" spans="1:9" x14ac:dyDescent="0.3">
      <c r="A208" s="1">
        <v>44843</v>
      </c>
      <c r="B208" t="s">
        <v>59</v>
      </c>
      <c r="C208" t="s">
        <v>38</v>
      </c>
      <c r="D208" t="s">
        <v>10</v>
      </c>
      <c r="E208">
        <v>3</v>
      </c>
      <c r="F208">
        <v>59.090000152587891</v>
      </c>
      <c r="G208">
        <v>164.80000305175781</v>
      </c>
      <c r="H208" t="s">
        <v>11</v>
      </c>
      <c r="I208" t="str">
        <f>TEXT(tblSales[[#This Row],[OrderDate]],"yyyy-mm")</f>
        <v>2022-10</v>
      </c>
    </row>
    <row r="209" spans="1:9" x14ac:dyDescent="0.3">
      <c r="A209" s="1">
        <v>44476</v>
      </c>
      <c r="B209" t="s">
        <v>195</v>
      </c>
      <c r="C209" t="s">
        <v>85</v>
      </c>
      <c r="D209" t="s">
        <v>10</v>
      </c>
      <c r="E209">
        <v>1</v>
      </c>
      <c r="F209">
        <v>266.91000366210938</v>
      </c>
      <c r="G209">
        <v>281.17999267578125</v>
      </c>
      <c r="H209" t="s">
        <v>11</v>
      </c>
      <c r="I209" t="str">
        <f>TEXT(tblSales[[#This Row],[OrderDate]],"yyyy-mm")</f>
        <v>2021-10</v>
      </c>
    </row>
    <row r="210" spans="1:9" x14ac:dyDescent="0.3">
      <c r="A210" s="1">
        <v>44626</v>
      </c>
      <c r="B210" t="s">
        <v>150</v>
      </c>
      <c r="C210" t="s">
        <v>33</v>
      </c>
      <c r="D210" t="s">
        <v>53</v>
      </c>
      <c r="E210">
        <v>3</v>
      </c>
      <c r="F210">
        <v>568.010009765625</v>
      </c>
      <c r="G210">
        <v>1716.969970703125</v>
      </c>
      <c r="H210" t="s">
        <v>67</v>
      </c>
      <c r="I210" t="str">
        <f>TEXT(tblSales[[#This Row],[OrderDate]],"yyyy-mm")</f>
        <v>2022-03</v>
      </c>
    </row>
    <row r="211" spans="1:9" x14ac:dyDescent="0.3">
      <c r="A211" s="1">
        <v>44882</v>
      </c>
      <c r="B211" t="s">
        <v>74</v>
      </c>
      <c r="C211" t="s">
        <v>99</v>
      </c>
      <c r="D211" t="s">
        <v>10</v>
      </c>
      <c r="E211">
        <v>2</v>
      </c>
      <c r="F211">
        <v>454.72000122070313</v>
      </c>
      <c r="G211">
        <v>933.4000244140625</v>
      </c>
      <c r="H211" t="s">
        <v>11</v>
      </c>
      <c r="I211" t="str">
        <f>TEXT(tblSales[[#This Row],[OrderDate]],"yyyy-mm")</f>
        <v>2022-11</v>
      </c>
    </row>
    <row r="212" spans="1:9" x14ac:dyDescent="0.3">
      <c r="A212" s="1">
        <v>45474</v>
      </c>
      <c r="B212" t="s">
        <v>126</v>
      </c>
      <c r="C212" t="s">
        <v>45</v>
      </c>
      <c r="D212" t="s">
        <v>10</v>
      </c>
      <c r="E212">
        <v>3</v>
      </c>
      <c r="F212">
        <v>189.1199951171875</v>
      </c>
      <c r="G212">
        <v>493.79998779296875</v>
      </c>
      <c r="H212" t="s">
        <v>67</v>
      </c>
      <c r="I212" t="str">
        <f>TEXT(tblSales[[#This Row],[OrderDate]],"yyyy-mm")</f>
        <v>2024-07</v>
      </c>
    </row>
    <row r="213" spans="1:9" x14ac:dyDescent="0.3">
      <c r="A213" s="1">
        <v>45410</v>
      </c>
      <c r="B213" t="s">
        <v>86</v>
      </c>
      <c r="C213" t="s">
        <v>80</v>
      </c>
      <c r="D213" t="s">
        <v>14</v>
      </c>
      <c r="E213">
        <v>5</v>
      </c>
      <c r="F213">
        <v>104.68000030517578</v>
      </c>
      <c r="G213">
        <v>482.8599853515625</v>
      </c>
      <c r="H213" t="s">
        <v>15</v>
      </c>
      <c r="I213" t="str">
        <f>TEXT(tblSales[[#This Row],[OrderDate]],"yyyy-mm")</f>
        <v>2024-04</v>
      </c>
    </row>
    <row r="214" spans="1:9" x14ac:dyDescent="0.3">
      <c r="A214" s="1">
        <v>45194</v>
      </c>
      <c r="B214" t="s">
        <v>156</v>
      </c>
      <c r="C214" t="s">
        <v>99</v>
      </c>
      <c r="D214" t="s">
        <v>34</v>
      </c>
      <c r="E214">
        <v>2</v>
      </c>
      <c r="F214">
        <v>116.02999877929688</v>
      </c>
      <c r="G214">
        <v>206.03999328613281</v>
      </c>
      <c r="H214" t="s">
        <v>11</v>
      </c>
      <c r="I214" t="str">
        <f>TEXT(tblSales[[#This Row],[OrderDate]],"yyyy-mm")</f>
        <v>2023-09</v>
      </c>
    </row>
    <row r="215" spans="1:9" x14ac:dyDescent="0.3">
      <c r="A215" s="1">
        <v>45652</v>
      </c>
      <c r="B215" t="s">
        <v>46</v>
      </c>
      <c r="C215" t="s">
        <v>129</v>
      </c>
      <c r="D215" t="s">
        <v>18</v>
      </c>
      <c r="E215">
        <v>3</v>
      </c>
      <c r="F215">
        <v>83.30999755859375</v>
      </c>
      <c r="G215">
        <v>273.39999389648438</v>
      </c>
      <c r="H215" t="s">
        <v>15</v>
      </c>
      <c r="I215" t="str">
        <f>TEXT(tblSales[[#This Row],[OrderDate]],"yyyy-mm")</f>
        <v>2024-12</v>
      </c>
    </row>
    <row r="216" spans="1:9" x14ac:dyDescent="0.3">
      <c r="A216" s="1">
        <v>45185</v>
      </c>
      <c r="B216" t="s">
        <v>196</v>
      </c>
      <c r="C216" t="s">
        <v>197</v>
      </c>
      <c r="D216" t="s">
        <v>53</v>
      </c>
      <c r="E216">
        <v>3</v>
      </c>
      <c r="F216">
        <v>556.67999267578125</v>
      </c>
      <c r="G216">
        <v>1754.5999755859375</v>
      </c>
      <c r="H216" t="s">
        <v>23</v>
      </c>
      <c r="I216" t="str">
        <f>TEXT(tblSales[[#This Row],[OrderDate]],"yyyy-mm")</f>
        <v>2023-09</v>
      </c>
    </row>
    <row r="217" spans="1:9" x14ac:dyDescent="0.3">
      <c r="A217" s="1">
        <v>45494</v>
      </c>
      <c r="B217" t="s">
        <v>193</v>
      </c>
      <c r="C217" t="s">
        <v>105</v>
      </c>
      <c r="D217" t="s">
        <v>14</v>
      </c>
      <c r="E217">
        <v>3</v>
      </c>
      <c r="F217">
        <v>404.760009765625</v>
      </c>
      <c r="G217">
        <v>1443.3499755859375</v>
      </c>
      <c r="H217" t="s">
        <v>15</v>
      </c>
      <c r="I217" t="str">
        <f>TEXT(tblSales[[#This Row],[OrderDate]],"yyyy-mm")</f>
        <v>2024-07</v>
      </c>
    </row>
    <row r="218" spans="1:9" x14ac:dyDescent="0.3">
      <c r="A218" s="1">
        <v>45360</v>
      </c>
      <c r="B218" t="s">
        <v>198</v>
      </c>
      <c r="C218" t="s">
        <v>103</v>
      </c>
      <c r="D218" t="s">
        <v>31</v>
      </c>
      <c r="E218">
        <v>5</v>
      </c>
      <c r="F218">
        <v>470.82000732421875</v>
      </c>
      <c r="G218">
        <v>2300.580078125</v>
      </c>
      <c r="H218" t="s">
        <v>15</v>
      </c>
      <c r="I218" t="str">
        <f>TEXT(tblSales[[#This Row],[OrderDate]],"yyyy-mm")</f>
        <v>2024-03</v>
      </c>
    </row>
    <row r="219" spans="1:9" x14ac:dyDescent="0.3">
      <c r="A219" s="1">
        <v>45202</v>
      </c>
      <c r="B219" t="s">
        <v>84</v>
      </c>
      <c r="C219" t="s">
        <v>58</v>
      </c>
      <c r="D219" t="s">
        <v>14</v>
      </c>
      <c r="E219">
        <v>5</v>
      </c>
      <c r="F219">
        <v>88.239997863769531</v>
      </c>
      <c r="G219">
        <v>489.94000244140625</v>
      </c>
      <c r="H219" t="s">
        <v>11</v>
      </c>
      <c r="I219" t="str">
        <f>TEXT(tblSales[[#This Row],[OrderDate]],"yyyy-mm")</f>
        <v>2023-10</v>
      </c>
    </row>
    <row r="220" spans="1:9" x14ac:dyDescent="0.3">
      <c r="A220" s="1">
        <v>45327</v>
      </c>
      <c r="B220" t="s">
        <v>199</v>
      </c>
      <c r="C220" t="s">
        <v>60</v>
      </c>
      <c r="D220" t="s">
        <v>14</v>
      </c>
      <c r="E220">
        <v>3</v>
      </c>
      <c r="F220">
        <v>410.89999389648438</v>
      </c>
      <c r="G220">
        <v>1331.8900146484375</v>
      </c>
      <c r="H220" t="s">
        <v>11</v>
      </c>
      <c r="I220" t="str">
        <f>TEXT(tblSales[[#This Row],[OrderDate]],"yyyy-mm")</f>
        <v>2024-02</v>
      </c>
    </row>
    <row r="221" spans="1:9" x14ac:dyDescent="0.3">
      <c r="A221" s="1">
        <v>45085</v>
      </c>
      <c r="B221" t="s">
        <v>200</v>
      </c>
      <c r="C221" t="s">
        <v>48</v>
      </c>
      <c r="D221" t="s">
        <v>18</v>
      </c>
      <c r="E221">
        <v>4</v>
      </c>
      <c r="F221">
        <v>485.32000732421875</v>
      </c>
      <c r="G221">
        <v>1790.43994140625</v>
      </c>
      <c r="H221" t="s">
        <v>15</v>
      </c>
      <c r="I221" t="str">
        <f>TEXT(tblSales[[#This Row],[OrderDate]],"yyyy-mm")</f>
        <v>2023-06</v>
      </c>
    </row>
    <row r="222" spans="1:9" x14ac:dyDescent="0.3">
      <c r="A222" s="1">
        <v>44020</v>
      </c>
      <c r="B222" t="s">
        <v>43</v>
      </c>
      <c r="C222" t="s">
        <v>30</v>
      </c>
      <c r="D222" t="s">
        <v>18</v>
      </c>
      <c r="E222">
        <v>1</v>
      </c>
      <c r="F222">
        <v>49.310001373291016</v>
      </c>
      <c r="G222">
        <v>52.470001220703125</v>
      </c>
      <c r="H222" t="s">
        <v>15</v>
      </c>
      <c r="I222" t="str">
        <f>TEXT(tblSales[[#This Row],[OrderDate]],"yyyy-mm")</f>
        <v>2020-07</v>
      </c>
    </row>
    <row r="223" spans="1:9" x14ac:dyDescent="0.3">
      <c r="A223" s="1">
        <v>45079</v>
      </c>
      <c r="B223" t="s">
        <v>172</v>
      </c>
      <c r="C223" t="s">
        <v>129</v>
      </c>
      <c r="D223" t="s">
        <v>34</v>
      </c>
      <c r="E223">
        <v>4</v>
      </c>
      <c r="F223">
        <v>389.67001342773438</v>
      </c>
      <c r="G223">
        <v>1602.5</v>
      </c>
      <c r="H223" t="s">
        <v>15</v>
      </c>
      <c r="I223" t="str">
        <f>TEXT(tblSales[[#This Row],[OrderDate]],"yyyy-mm")</f>
        <v>2023-06</v>
      </c>
    </row>
    <row r="224" spans="1:9" x14ac:dyDescent="0.3">
      <c r="A224" s="1">
        <v>45239</v>
      </c>
      <c r="B224" t="s">
        <v>201</v>
      </c>
      <c r="C224" t="s">
        <v>108</v>
      </c>
      <c r="D224" t="s">
        <v>14</v>
      </c>
      <c r="E224">
        <v>1</v>
      </c>
      <c r="F224">
        <v>450.04998779296875</v>
      </c>
      <c r="G224">
        <v>473.75</v>
      </c>
      <c r="H224" t="s">
        <v>15</v>
      </c>
      <c r="I224" t="str">
        <f>TEXT(tblSales[[#This Row],[OrderDate]],"yyyy-mm")</f>
        <v>2023-11</v>
      </c>
    </row>
    <row r="225" spans="1:9" x14ac:dyDescent="0.3">
      <c r="A225" s="1">
        <v>45231</v>
      </c>
      <c r="B225" t="s">
        <v>87</v>
      </c>
      <c r="C225" t="s">
        <v>42</v>
      </c>
      <c r="D225" t="s">
        <v>14</v>
      </c>
      <c r="E225">
        <v>3</v>
      </c>
      <c r="F225">
        <v>137.33000183105469</v>
      </c>
      <c r="G225">
        <v>414.010009765625</v>
      </c>
      <c r="H225" t="s">
        <v>11</v>
      </c>
      <c r="I225" t="str">
        <f>TEXT(tblSales[[#This Row],[OrderDate]],"yyyy-mm")</f>
        <v>2023-11</v>
      </c>
    </row>
    <row r="226" spans="1:9" x14ac:dyDescent="0.3">
      <c r="A226" s="1">
        <v>45137</v>
      </c>
      <c r="B226" t="s">
        <v>183</v>
      </c>
      <c r="C226" t="s">
        <v>134</v>
      </c>
      <c r="D226" t="s">
        <v>14</v>
      </c>
      <c r="E226">
        <v>2</v>
      </c>
      <c r="F226">
        <v>114.61000061035156</v>
      </c>
      <c r="G226">
        <v>248.47000122070313</v>
      </c>
      <c r="H226" t="s">
        <v>15</v>
      </c>
      <c r="I226" t="str">
        <f>TEXT(tblSales[[#This Row],[OrderDate]],"yyyy-mm")</f>
        <v>2023-07</v>
      </c>
    </row>
    <row r="227" spans="1:9" x14ac:dyDescent="0.3">
      <c r="A227" s="1">
        <v>44463</v>
      </c>
      <c r="B227" t="s">
        <v>59</v>
      </c>
      <c r="C227" t="s">
        <v>122</v>
      </c>
      <c r="D227" t="s">
        <v>53</v>
      </c>
      <c r="E227">
        <v>5</v>
      </c>
      <c r="F227">
        <v>303.23001098632813</v>
      </c>
      <c r="G227">
        <v>1707.6700439453125</v>
      </c>
      <c r="H227" t="s">
        <v>15</v>
      </c>
      <c r="I227" t="str">
        <f>TEXT(tblSales[[#This Row],[OrderDate]],"yyyy-mm")</f>
        <v>2021-09</v>
      </c>
    </row>
    <row r="228" spans="1:9" x14ac:dyDescent="0.3">
      <c r="A228" s="1">
        <v>44458</v>
      </c>
      <c r="B228" t="s">
        <v>202</v>
      </c>
      <c r="C228" t="s">
        <v>25</v>
      </c>
      <c r="D228" t="s">
        <v>31</v>
      </c>
      <c r="E228">
        <v>4</v>
      </c>
      <c r="F228">
        <v>377.76998901367188</v>
      </c>
      <c r="G228">
        <v>1534.52001953125</v>
      </c>
      <c r="H228" t="s">
        <v>15</v>
      </c>
      <c r="I228" t="str">
        <f>TEXT(tblSales[[#This Row],[OrderDate]],"yyyy-mm")</f>
        <v>2021-09</v>
      </c>
    </row>
    <row r="229" spans="1:9" x14ac:dyDescent="0.3">
      <c r="A229" s="1">
        <v>44803</v>
      </c>
      <c r="B229" t="s">
        <v>43</v>
      </c>
      <c r="C229" t="s">
        <v>185</v>
      </c>
      <c r="D229" t="s">
        <v>53</v>
      </c>
      <c r="E229">
        <v>5</v>
      </c>
      <c r="F229">
        <v>165.72000122070313</v>
      </c>
      <c r="G229">
        <v>854.5999755859375</v>
      </c>
      <c r="H229" t="s">
        <v>11</v>
      </c>
      <c r="I229" t="str">
        <f>TEXT(tblSales[[#This Row],[OrderDate]],"yyyy-mm")</f>
        <v>2022-08</v>
      </c>
    </row>
    <row r="230" spans="1:9" x14ac:dyDescent="0.3">
      <c r="A230" s="1">
        <v>45599</v>
      </c>
      <c r="B230" t="s">
        <v>24</v>
      </c>
      <c r="C230" t="s">
        <v>134</v>
      </c>
      <c r="D230" t="s">
        <v>53</v>
      </c>
      <c r="E230">
        <v>5</v>
      </c>
      <c r="F230">
        <v>404.32998657226563</v>
      </c>
      <c r="G230">
        <v>2188.1298828125</v>
      </c>
      <c r="H230" t="s">
        <v>67</v>
      </c>
      <c r="I230" t="str">
        <f>TEXT(tblSales[[#This Row],[OrderDate]],"yyyy-mm")</f>
        <v>2024-11</v>
      </c>
    </row>
    <row r="231" spans="1:9" x14ac:dyDescent="0.3">
      <c r="A231" s="1">
        <v>45113</v>
      </c>
      <c r="B231" t="s">
        <v>167</v>
      </c>
      <c r="C231" t="s">
        <v>52</v>
      </c>
      <c r="D231" t="s">
        <v>31</v>
      </c>
      <c r="E231">
        <v>5</v>
      </c>
      <c r="F231">
        <v>493.80999755859375</v>
      </c>
      <c r="G231">
        <v>1881.300048828125</v>
      </c>
      <c r="H231" t="s">
        <v>15</v>
      </c>
      <c r="I231" t="str">
        <f>TEXT(tblSales[[#This Row],[OrderDate]],"yyyy-mm")</f>
        <v>2023-07</v>
      </c>
    </row>
    <row r="232" spans="1:9" x14ac:dyDescent="0.3">
      <c r="A232" s="1">
        <v>45213</v>
      </c>
      <c r="B232" t="s">
        <v>174</v>
      </c>
      <c r="C232" t="s">
        <v>56</v>
      </c>
      <c r="D232" t="s">
        <v>14</v>
      </c>
      <c r="E232">
        <v>1</v>
      </c>
      <c r="F232">
        <v>590.16998291015625</v>
      </c>
      <c r="G232">
        <v>530.510009765625</v>
      </c>
      <c r="H232" t="s">
        <v>15</v>
      </c>
      <c r="I232" t="str">
        <f>TEXT(tblSales[[#This Row],[OrderDate]],"yyyy-mm")</f>
        <v>2023-10</v>
      </c>
    </row>
    <row r="233" spans="1:9" x14ac:dyDescent="0.3">
      <c r="A233" s="1">
        <v>44540</v>
      </c>
      <c r="B233" t="s">
        <v>203</v>
      </c>
      <c r="C233" t="s">
        <v>122</v>
      </c>
      <c r="D233" t="s">
        <v>31</v>
      </c>
      <c r="E233">
        <v>2</v>
      </c>
      <c r="F233">
        <v>426.66000366210938</v>
      </c>
      <c r="G233">
        <v>824.03997802734375</v>
      </c>
      <c r="H233" t="s">
        <v>15</v>
      </c>
      <c r="I233" t="str">
        <f>TEXT(tblSales[[#This Row],[OrderDate]],"yyyy-mm")</f>
        <v>2021-12</v>
      </c>
    </row>
    <row r="234" spans="1:9" x14ac:dyDescent="0.3">
      <c r="A234" s="1">
        <v>45310</v>
      </c>
      <c r="B234" t="s">
        <v>204</v>
      </c>
      <c r="C234" t="s">
        <v>103</v>
      </c>
      <c r="D234" t="s">
        <v>14</v>
      </c>
      <c r="E234">
        <v>3</v>
      </c>
      <c r="F234">
        <v>512.1300048828125</v>
      </c>
      <c r="G234">
        <v>1674.22998046875</v>
      </c>
      <c r="H234" t="s">
        <v>15</v>
      </c>
      <c r="I234" t="str">
        <f>TEXT(tblSales[[#This Row],[OrderDate]],"yyyy-mm")</f>
        <v>2024-01</v>
      </c>
    </row>
    <row r="235" spans="1:9" x14ac:dyDescent="0.3">
      <c r="A235" s="1">
        <v>45265</v>
      </c>
      <c r="B235" t="s">
        <v>49</v>
      </c>
      <c r="C235" t="s">
        <v>94</v>
      </c>
      <c r="D235" t="s">
        <v>31</v>
      </c>
      <c r="E235">
        <v>4</v>
      </c>
      <c r="F235">
        <v>139.58999633789063</v>
      </c>
      <c r="G235">
        <v>557.3599853515625</v>
      </c>
      <c r="H235" t="s">
        <v>15</v>
      </c>
      <c r="I235" t="str">
        <f>TEXT(tblSales[[#This Row],[OrderDate]],"yyyy-mm")</f>
        <v>2023-12</v>
      </c>
    </row>
    <row r="236" spans="1:9" x14ac:dyDescent="0.3">
      <c r="A236" s="1">
        <v>44479</v>
      </c>
      <c r="B236" t="s">
        <v>117</v>
      </c>
      <c r="C236" t="s">
        <v>145</v>
      </c>
      <c r="D236" t="s">
        <v>18</v>
      </c>
      <c r="E236">
        <v>2</v>
      </c>
      <c r="F236">
        <v>130.46000671386719</v>
      </c>
      <c r="G236">
        <v>254</v>
      </c>
      <c r="H236" t="s">
        <v>15</v>
      </c>
      <c r="I236" t="str">
        <f>TEXT(tblSales[[#This Row],[OrderDate]],"yyyy-mm")</f>
        <v>2021-10</v>
      </c>
    </row>
    <row r="237" spans="1:9" x14ac:dyDescent="0.3">
      <c r="A237" s="1">
        <v>44148</v>
      </c>
      <c r="B237" t="s">
        <v>112</v>
      </c>
      <c r="C237" t="s">
        <v>27</v>
      </c>
      <c r="D237" t="s">
        <v>53</v>
      </c>
      <c r="E237">
        <v>5</v>
      </c>
      <c r="F237">
        <v>574.239990234375</v>
      </c>
      <c r="G237">
        <v>3027.85009765625</v>
      </c>
      <c r="H237" t="s">
        <v>15</v>
      </c>
      <c r="I237" t="str">
        <f>TEXT(tblSales[[#This Row],[OrderDate]],"yyyy-mm")</f>
        <v>2020-11</v>
      </c>
    </row>
    <row r="238" spans="1:9" x14ac:dyDescent="0.3">
      <c r="A238" s="1">
        <v>45531</v>
      </c>
      <c r="B238" t="s">
        <v>87</v>
      </c>
      <c r="C238" t="s">
        <v>75</v>
      </c>
      <c r="D238" t="s">
        <v>18</v>
      </c>
      <c r="E238">
        <v>1</v>
      </c>
      <c r="F238">
        <v>432.72000122070313</v>
      </c>
      <c r="G238">
        <v>423.33999633789063</v>
      </c>
      <c r="H238" t="s">
        <v>11</v>
      </c>
      <c r="I238" t="str">
        <f>TEXT(tblSales[[#This Row],[OrderDate]],"yyyy-mm")</f>
        <v>2024-08</v>
      </c>
    </row>
    <row r="239" spans="1:9" x14ac:dyDescent="0.3">
      <c r="A239" s="1">
        <v>45079</v>
      </c>
      <c r="B239" t="s">
        <v>117</v>
      </c>
      <c r="C239" t="s">
        <v>60</v>
      </c>
      <c r="D239" t="s">
        <v>53</v>
      </c>
      <c r="E239">
        <v>5</v>
      </c>
      <c r="F239">
        <v>73.550003051757813</v>
      </c>
      <c r="G239">
        <v>321.6199951171875</v>
      </c>
      <c r="H239" t="s">
        <v>15</v>
      </c>
      <c r="I239" t="str">
        <f>TEXT(tblSales[[#This Row],[OrderDate]],"yyyy-mm")</f>
        <v>2023-06</v>
      </c>
    </row>
    <row r="240" spans="1:9" x14ac:dyDescent="0.3">
      <c r="A240" s="1">
        <v>45088</v>
      </c>
      <c r="B240" t="s">
        <v>47</v>
      </c>
      <c r="C240" t="s">
        <v>85</v>
      </c>
      <c r="D240" t="s">
        <v>53</v>
      </c>
      <c r="E240">
        <v>1</v>
      </c>
      <c r="F240">
        <v>257.510009765625</v>
      </c>
      <c r="G240">
        <v>278.73001098632813</v>
      </c>
      <c r="H240" t="s">
        <v>15</v>
      </c>
      <c r="I240" t="str">
        <f>TEXT(tblSales[[#This Row],[OrderDate]],"yyyy-mm")</f>
        <v>2023-06</v>
      </c>
    </row>
    <row r="241" spans="1:9" x14ac:dyDescent="0.3">
      <c r="A241" s="1">
        <v>44514</v>
      </c>
      <c r="B241" t="s">
        <v>205</v>
      </c>
      <c r="C241" t="s">
        <v>98</v>
      </c>
      <c r="D241" t="s">
        <v>18</v>
      </c>
      <c r="E241">
        <v>5</v>
      </c>
      <c r="F241">
        <v>338.760009765625</v>
      </c>
      <c r="G241">
        <v>1814.6600341796875</v>
      </c>
      <c r="H241" t="s">
        <v>11</v>
      </c>
      <c r="I241" t="str">
        <f>TEXT(tblSales[[#This Row],[OrderDate]],"yyyy-mm")</f>
        <v>2021-11</v>
      </c>
    </row>
    <row r="242" spans="1:9" x14ac:dyDescent="0.3">
      <c r="A242" s="1">
        <v>44494</v>
      </c>
      <c r="B242" t="s">
        <v>200</v>
      </c>
      <c r="C242" t="s">
        <v>45</v>
      </c>
      <c r="D242" t="s">
        <v>53</v>
      </c>
      <c r="E242">
        <v>2</v>
      </c>
      <c r="F242">
        <v>139.97000122070313</v>
      </c>
      <c r="G242">
        <v>317.239990234375</v>
      </c>
      <c r="H242" t="s">
        <v>28</v>
      </c>
      <c r="I242" t="str">
        <f>TEXT(tblSales[[#This Row],[OrderDate]],"yyyy-mm")</f>
        <v>2021-10</v>
      </c>
    </row>
    <row r="243" spans="1:9" x14ac:dyDescent="0.3">
      <c r="A243" s="1">
        <v>45228</v>
      </c>
      <c r="B243" t="s">
        <v>206</v>
      </c>
      <c r="C243" t="s">
        <v>30</v>
      </c>
      <c r="D243" t="s">
        <v>53</v>
      </c>
      <c r="E243">
        <v>4</v>
      </c>
      <c r="F243">
        <v>202.97999572753906</v>
      </c>
      <c r="G243">
        <v>789.280029296875</v>
      </c>
      <c r="H243" t="s">
        <v>23</v>
      </c>
      <c r="I243" t="str">
        <f>TEXT(tblSales[[#This Row],[OrderDate]],"yyyy-mm")</f>
        <v>2023-10</v>
      </c>
    </row>
    <row r="244" spans="1:9" x14ac:dyDescent="0.3">
      <c r="A244" s="1">
        <v>45526</v>
      </c>
      <c r="B244" t="s">
        <v>198</v>
      </c>
      <c r="C244" t="s">
        <v>13</v>
      </c>
      <c r="D244" t="s">
        <v>14</v>
      </c>
      <c r="E244">
        <v>4</v>
      </c>
      <c r="F244">
        <v>319.1099853515625</v>
      </c>
      <c r="G244">
        <v>1344.4100341796875</v>
      </c>
      <c r="H244" t="s">
        <v>15</v>
      </c>
      <c r="I244" t="str">
        <f>TEXT(tblSales[[#This Row],[OrderDate]],"yyyy-mm")</f>
        <v>2024-08</v>
      </c>
    </row>
    <row r="245" spans="1:9" x14ac:dyDescent="0.3">
      <c r="A245" s="1">
        <v>45462</v>
      </c>
      <c r="B245" t="s">
        <v>113</v>
      </c>
      <c r="C245" t="s">
        <v>9</v>
      </c>
      <c r="D245" t="s">
        <v>14</v>
      </c>
      <c r="E245">
        <v>1</v>
      </c>
      <c r="F245">
        <v>370.47000122070313</v>
      </c>
      <c r="G245">
        <v>353.57998657226563</v>
      </c>
      <c r="H245" t="s">
        <v>15</v>
      </c>
      <c r="I245" t="str">
        <f>TEXT(tblSales[[#This Row],[OrderDate]],"yyyy-mm")</f>
        <v>2024-06</v>
      </c>
    </row>
    <row r="246" spans="1:9" x14ac:dyDescent="0.3">
      <c r="A246" s="1">
        <v>45326</v>
      </c>
      <c r="B246" t="s">
        <v>126</v>
      </c>
      <c r="C246" t="s">
        <v>110</v>
      </c>
      <c r="D246" t="s">
        <v>18</v>
      </c>
      <c r="E246">
        <v>5</v>
      </c>
      <c r="F246">
        <v>45.490001678466797</v>
      </c>
      <c r="G246">
        <v>214.72999572753906</v>
      </c>
      <c r="H246" t="s">
        <v>11</v>
      </c>
      <c r="I246" t="str">
        <f>TEXT(tblSales[[#This Row],[OrderDate]],"yyyy-mm")</f>
        <v>2024-02</v>
      </c>
    </row>
    <row r="247" spans="1:9" x14ac:dyDescent="0.3">
      <c r="A247" s="1">
        <v>45087</v>
      </c>
      <c r="B247" t="s">
        <v>106</v>
      </c>
      <c r="C247" t="s">
        <v>9</v>
      </c>
      <c r="D247" t="s">
        <v>18</v>
      </c>
      <c r="E247">
        <v>3</v>
      </c>
      <c r="F247">
        <v>116.12000274658203</v>
      </c>
      <c r="G247">
        <v>416.510009765625</v>
      </c>
      <c r="H247" t="s">
        <v>11</v>
      </c>
      <c r="I247" t="str">
        <f>TEXT(tblSales[[#This Row],[OrderDate]],"yyyy-mm")</f>
        <v>2023-06</v>
      </c>
    </row>
    <row r="248" spans="1:9" x14ac:dyDescent="0.3">
      <c r="A248" s="1">
        <v>45546</v>
      </c>
      <c r="B248" t="s">
        <v>123</v>
      </c>
      <c r="C248" t="s">
        <v>162</v>
      </c>
      <c r="D248" t="s">
        <v>53</v>
      </c>
      <c r="E248">
        <v>3</v>
      </c>
      <c r="F248">
        <v>297.8599853515625</v>
      </c>
      <c r="G248">
        <v>807.780029296875</v>
      </c>
      <c r="H248" t="s">
        <v>15</v>
      </c>
      <c r="I248" t="str">
        <f>TEXT(tblSales[[#This Row],[OrderDate]],"yyyy-mm")</f>
        <v>2024-09</v>
      </c>
    </row>
    <row r="249" spans="1:9" x14ac:dyDescent="0.3">
      <c r="A249" s="1">
        <v>44967</v>
      </c>
      <c r="B249" t="s">
        <v>207</v>
      </c>
      <c r="C249" t="s">
        <v>9</v>
      </c>
      <c r="D249" t="s">
        <v>31</v>
      </c>
      <c r="E249">
        <v>5</v>
      </c>
      <c r="F249">
        <v>89.260002136230469</v>
      </c>
      <c r="G249">
        <v>484.92001342773438</v>
      </c>
      <c r="H249" t="s">
        <v>15</v>
      </c>
      <c r="I249" t="str">
        <f>TEXT(tblSales[[#This Row],[OrderDate]],"yyyy-mm")</f>
        <v>2023-02</v>
      </c>
    </row>
    <row r="250" spans="1:9" x14ac:dyDescent="0.3">
      <c r="A250" s="1">
        <v>45351</v>
      </c>
      <c r="B250" t="s">
        <v>208</v>
      </c>
      <c r="C250" t="s">
        <v>116</v>
      </c>
      <c r="D250" t="s">
        <v>53</v>
      </c>
      <c r="E250">
        <v>4</v>
      </c>
      <c r="F250">
        <v>73.540000915527344</v>
      </c>
      <c r="G250">
        <v>265.3900146484375</v>
      </c>
      <c r="H250" t="s">
        <v>15</v>
      </c>
      <c r="I250" t="str">
        <f>TEXT(tblSales[[#This Row],[OrderDate]],"yyyy-mm")</f>
        <v>2024-02</v>
      </c>
    </row>
    <row r="251" spans="1:9" x14ac:dyDescent="0.3">
      <c r="A251" s="1">
        <v>44272</v>
      </c>
      <c r="B251" t="s">
        <v>133</v>
      </c>
      <c r="C251" t="s">
        <v>64</v>
      </c>
      <c r="D251" t="s">
        <v>14</v>
      </c>
      <c r="E251">
        <v>4</v>
      </c>
      <c r="F251">
        <v>214.41999816894531</v>
      </c>
      <c r="G251">
        <v>969.90997314453125</v>
      </c>
      <c r="H251" t="s">
        <v>15</v>
      </c>
      <c r="I251" t="str">
        <f>TEXT(tblSales[[#This Row],[OrderDate]],"yyyy-mm")</f>
        <v>2021-03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3F18C-E536-41B5-86CA-97765016D1B6}">
  <dimension ref="A1:N45"/>
  <sheetViews>
    <sheetView topLeftCell="A17" workbookViewId="0">
      <selection activeCell="I42" sqref="I42"/>
    </sheetView>
  </sheetViews>
  <sheetFormatPr defaultRowHeight="14.4" x14ac:dyDescent="0.3"/>
  <cols>
    <col min="1" max="1" width="2.77734375" customWidth="1"/>
    <col min="2" max="10" width="16.6640625" customWidth="1"/>
    <col min="11" max="11" width="3.6640625" customWidth="1"/>
    <col min="12" max="14" width="24.109375" customWidth="1"/>
  </cols>
  <sheetData>
    <row r="1" spans="1:14" ht="40.049999999999997" customHeight="1" x14ac:dyDescent="0.3">
      <c r="A1" s="4"/>
      <c r="B1" s="7" t="s">
        <v>273</v>
      </c>
      <c r="C1" s="7"/>
      <c r="D1" s="7"/>
      <c r="E1" s="7"/>
      <c r="F1" s="7"/>
      <c r="G1" s="7"/>
      <c r="H1" s="7"/>
      <c r="I1" s="7"/>
      <c r="J1" s="7"/>
      <c r="K1" s="4"/>
      <c r="L1" s="4"/>
      <c r="M1" s="4"/>
      <c r="N1" s="4"/>
    </row>
    <row r="2" spans="1:14" ht="25.05" customHeight="1" x14ac:dyDescent="0.3">
      <c r="A2" s="4"/>
      <c r="B2" s="4"/>
      <c r="C2" s="4"/>
      <c r="D2" s="4"/>
      <c r="E2" s="4"/>
      <c r="F2" s="4"/>
      <c r="G2" s="4"/>
      <c r="H2" s="4"/>
      <c r="I2" s="4"/>
      <c r="J2" s="4"/>
      <c r="K2" s="4"/>
      <c r="L2" s="4"/>
      <c r="M2" s="4"/>
      <c r="N2" s="4"/>
    </row>
    <row r="3" spans="1:14" ht="49.95" customHeight="1" x14ac:dyDescent="0.3">
      <c r="A3" s="4"/>
      <c r="B3" s="8" t="str">
        <f>" $ "&amp;TEXT(SUM(tblSales[TotalAmount]),"#,##0")</f>
        <v xml:space="preserve"> $ 242,186</v>
      </c>
      <c r="C3" s="8"/>
      <c r="D3" s="8"/>
      <c r="E3" s="10">
        <f>COUNTA(tblSales[OrderDate])</f>
        <v>250</v>
      </c>
      <c r="F3" s="10"/>
      <c r="G3" s="10"/>
      <c r="H3" s="12" cm="1">
        <f t="array" ref="H3">SUMPRODUCT(1/COUNTIF(tblSales[CustomerName],tblSales[CustomerName]))</f>
        <v>139.99999999999997</v>
      </c>
      <c r="I3" s="12"/>
      <c r="J3" s="12"/>
      <c r="K3" s="4"/>
      <c r="L3" s="4"/>
      <c r="M3" s="4"/>
      <c r="N3" s="4"/>
    </row>
    <row r="4" spans="1:14" ht="49.95" customHeight="1" x14ac:dyDescent="0.3">
      <c r="A4" s="4"/>
      <c r="B4" s="8"/>
      <c r="C4" s="8"/>
      <c r="D4" s="8"/>
      <c r="E4" s="10"/>
      <c r="F4" s="10"/>
      <c r="G4" s="10"/>
      <c r="H4" s="12"/>
      <c r="I4" s="12"/>
      <c r="J4" s="12"/>
      <c r="K4" s="4"/>
      <c r="L4" s="4"/>
      <c r="M4" s="4"/>
      <c r="N4" s="4"/>
    </row>
    <row r="5" spans="1:14" x14ac:dyDescent="0.3">
      <c r="A5" s="4"/>
      <c r="B5" s="9" t="s">
        <v>274</v>
      </c>
      <c r="C5" s="9"/>
      <c r="D5" s="9"/>
      <c r="E5" s="11" t="s">
        <v>275</v>
      </c>
      <c r="F5" s="11"/>
      <c r="G5" s="11"/>
      <c r="H5" s="13" t="s">
        <v>281</v>
      </c>
      <c r="I5" s="13"/>
      <c r="J5" s="13"/>
      <c r="K5" s="4"/>
      <c r="L5" s="4"/>
      <c r="M5" s="4"/>
      <c r="N5" s="4"/>
    </row>
    <row r="6" spans="1:14" x14ac:dyDescent="0.3">
      <c r="A6" s="4"/>
      <c r="B6" s="4"/>
      <c r="C6" s="4"/>
      <c r="D6" s="4"/>
      <c r="E6" s="4"/>
      <c r="F6" s="4"/>
      <c r="G6" s="4"/>
      <c r="H6" s="4"/>
      <c r="I6" s="4"/>
      <c r="J6" s="4"/>
      <c r="K6" s="4"/>
      <c r="L6" s="4"/>
      <c r="M6" s="4"/>
      <c r="N6" s="4"/>
    </row>
    <row r="7" spans="1:14" ht="17.399999999999999" x14ac:dyDescent="0.35">
      <c r="A7" s="4"/>
      <c r="B7" s="5" t="s">
        <v>276</v>
      </c>
      <c r="C7" s="4"/>
      <c r="D7" s="4"/>
      <c r="E7" s="4"/>
      <c r="F7" s="5" t="s">
        <v>277</v>
      </c>
      <c r="G7" s="4"/>
      <c r="H7" s="4"/>
      <c r="I7" s="4"/>
      <c r="J7" s="4"/>
      <c r="L7" s="5" t="s">
        <v>280</v>
      </c>
      <c r="M7" s="4"/>
      <c r="N7" s="4"/>
    </row>
    <row r="8" spans="1:14" x14ac:dyDescent="0.3">
      <c r="A8" s="4"/>
      <c r="B8" s="4"/>
      <c r="C8" s="4"/>
      <c r="D8" s="4"/>
      <c r="E8" s="4"/>
      <c r="F8" s="4"/>
      <c r="G8" s="4"/>
      <c r="H8" s="4"/>
      <c r="I8" s="4"/>
      <c r="J8" s="4"/>
      <c r="K8" s="4"/>
      <c r="L8" s="4"/>
      <c r="M8" s="4"/>
      <c r="N8" s="4"/>
    </row>
    <row r="9" spans="1:14" x14ac:dyDescent="0.3">
      <c r="A9" s="4"/>
      <c r="B9" s="4"/>
      <c r="C9" s="4"/>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c r="M17" s="4"/>
      <c r="N17" s="4"/>
    </row>
    <row r="18" spans="1:14" x14ac:dyDescent="0.3">
      <c r="A18" s="4"/>
      <c r="B18" s="4"/>
      <c r="C18" s="4"/>
      <c r="D18" s="4"/>
      <c r="E18" s="4"/>
      <c r="F18" s="4"/>
      <c r="G18" s="4"/>
      <c r="H18" s="4"/>
      <c r="I18" s="4"/>
      <c r="J18" s="4"/>
      <c r="K18" s="4"/>
      <c r="L18" s="4"/>
      <c r="M18" s="4"/>
      <c r="N18" s="4"/>
    </row>
    <row r="19" spans="1:14" x14ac:dyDescent="0.3">
      <c r="A19" s="4"/>
      <c r="B19" s="4"/>
      <c r="C19" s="4"/>
      <c r="D19" s="4"/>
      <c r="E19" s="4"/>
      <c r="F19" s="4"/>
      <c r="G19" s="4"/>
      <c r="H19" s="4"/>
      <c r="I19" s="4"/>
      <c r="J19" s="4"/>
      <c r="K19" s="4"/>
      <c r="L19" s="4"/>
      <c r="M19" s="4"/>
      <c r="N19" s="4"/>
    </row>
    <row r="20" spans="1:14" x14ac:dyDescent="0.3">
      <c r="A20" s="4"/>
      <c r="B20" s="4"/>
      <c r="C20" s="4"/>
      <c r="D20" s="4"/>
      <c r="E20" s="4"/>
      <c r="F20" s="4"/>
      <c r="G20" s="4"/>
      <c r="H20" s="4"/>
      <c r="I20" s="4"/>
      <c r="J20" s="4"/>
      <c r="K20" s="4"/>
      <c r="L20" s="4"/>
      <c r="M20" s="4"/>
      <c r="N20" s="4"/>
    </row>
    <row r="21" spans="1:14" x14ac:dyDescent="0.3">
      <c r="A21" s="4"/>
      <c r="B21" s="4"/>
      <c r="C21" s="4"/>
      <c r="D21" s="4"/>
      <c r="E21" s="4"/>
      <c r="F21" s="4"/>
      <c r="G21" s="4"/>
      <c r="H21" s="4"/>
      <c r="I21" s="4"/>
      <c r="J21" s="4"/>
      <c r="K21" s="4"/>
      <c r="L21" s="4"/>
      <c r="M21" s="4"/>
      <c r="N21" s="4"/>
    </row>
    <row r="22" spans="1:14" x14ac:dyDescent="0.3">
      <c r="A22" s="4"/>
      <c r="B22" s="4"/>
      <c r="C22" s="4"/>
      <c r="D22" s="4"/>
      <c r="E22" s="4"/>
      <c r="F22" s="4"/>
      <c r="G22" s="4"/>
      <c r="H22" s="4"/>
      <c r="I22" s="4"/>
      <c r="J22" s="4"/>
      <c r="K22" s="4"/>
      <c r="L22" s="4"/>
      <c r="M22" s="4"/>
      <c r="N22" s="4"/>
    </row>
    <row r="23" spans="1:14" ht="17.399999999999999" x14ac:dyDescent="0.35">
      <c r="A23" s="4"/>
      <c r="B23" s="5" t="s">
        <v>278</v>
      </c>
      <c r="C23" s="4"/>
      <c r="D23" s="4"/>
      <c r="E23" s="4"/>
      <c r="F23" s="5" t="s">
        <v>279</v>
      </c>
      <c r="G23" s="4"/>
      <c r="H23" s="4"/>
      <c r="I23" s="4"/>
      <c r="J23" s="4"/>
      <c r="K23" s="4"/>
      <c r="L23" s="4"/>
      <c r="M23" s="4"/>
      <c r="N23" s="4"/>
    </row>
    <row r="24" spans="1:14" x14ac:dyDescent="0.3">
      <c r="A24" s="4"/>
      <c r="B24" s="4"/>
      <c r="C24" s="4"/>
      <c r="D24" s="4"/>
      <c r="E24" s="4"/>
      <c r="F24" s="4"/>
      <c r="G24" s="4"/>
      <c r="H24" s="4"/>
      <c r="I24" s="4"/>
      <c r="J24" s="4"/>
      <c r="K24" s="4"/>
      <c r="L24" s="4"/>
      <c r="M24" s="4"/>
      <c r="N24" s="4"/>
    </row>
    <row r="25" spans="1:14" x14ac:dyDescent="0.3">
      <c r="A25" s="4"/>
      <c r="B25" s="4"/>
      <c r="C25" s="4"/>
      <c r="D25" s="4"/>
      <c r="E25" s="4"/>
      <c r="F25" s="4"/>
      <c r="G25" s="4"/>
      <c r="H25" s="4"/>
      <c r="I25" s="4"/>
      <c r="J25" s="4"/>
      <c r="K25" s="4"/>
      <c r="L25" s="4"/>
      <c r="M25" s="4"/>
      <c r="N25" s="4"/>
    </row>
    <row r="26" spans="1:14" x14ac:dyDescent="0.3">
      <c r="A26" s="4"/>
      <c r="B26" s="4"/>
      <c r="C26" s="4"/>
      <c r="D26" s="4"/>
      <c r="E26" s="4"/>
      <c r="F26" s="4"/>
      <c r="G26" s="4"/>
      <c r="H26" s="4"/>
      <c r="I26" s="4"/>
      <c r="J26" s="4"/>
      <c r="K26" s="4"/>
      <c r="L26" s="4"/>
      <c r="M26" s="4"/>
      <c r="N26" s="4"/>
    </row>
    <row r="27" spans="1:14" x14ac:dyDescent="0.3">
      <c r="A27" s="4"/>
      <c r="B27" s="4"/>
      <c r="C27" s="4"/>
      <c r="D27" s="4"/>
      <c r="E27" s="4"/>
      <c r="F27" s="4"/>
      <c r="G27" s="4"/>
      <c r="H27" s="4"/>
      <c r="I27" s="4"/>
      <c r="J27" s="4"/>
      <c r="K27" s="4"/>
      <c r="L27" s="4"/>
      <c r="M27" s="4"/>
      <c r="N27" s="4"/>
    </row>
    <row r="28" spans="1:14" x14ac:dyDescent="0.3">
      <c r="A28" s="4"/>
      <c r="B28" s="4"/>
      <c r="C28" s="4"/>
      <c r="D28" s="4"/>
      <c r="E28" s="4"/>
      <c r="F28" s="4"/>
      <c r="G28" s="4"/>
      <c r="H28" s="4"/>
      <c r="I28" s="4"/>
      <c r="J28" s="4"/>
      <c r="K28" s="4"/>
      <c r="L28" s="4"/>
      <c r="M28" s="4"/>
      <c r="N28" s="4"/>
    </row>
    <row r="29" spans="1:14" x14ac:dyDescent="0.3">
      <c r="A29" s="4"/>
      <c r="B29" s="4"/>
      <c r="C29" s="4"/>
      <c r="D29" s="4"/>
      <c r="E29" s="4"/>
      <c r="F29" s="4"/>
      <c r="G29" s="4"/>
      <c r="H29" s="4"/>
      <c r="I29" s="4"/>
      <c r="J29" s="4"/>
      <c r="K29" s="4"/>
      <c r="L29" s="4"/>
      <c r="M29" s="4"/>
      <c r="N29" s="4"/>
    </row>
    <row r="30" spans="1:14" x14ac:dyDescent="0.3">
      <c r="A30" s="4"/>
      <c r="B30" s="4"/>
      <c r="C30" s="4"/>
      <c r="D30" s="4"/>
      <c r="E30" s="4"/>
      <c r="F30" s="4"/>
      <c r="G30" s="4"/>
      <c r="H30" s="4"/>
      <c r="I30" s="4"/>
      <c r="J30" s="4"/>
      <c r="K30" s="4"/>
      <c r="L30" s="4"/>
      <c r="M30" s="4"/>
      <c r="N30" s="4"/>
    </row>
    <row r="31" spans="1:14" x14ac:dyDescent="0.3">
      <c r="A31" s="4"/>
      <c r="B31" s="4"/>
      <c r="C31" s="4"/>
      <c r="D31" s="4"/>
      <c r="E31" s="4"/>
      <c r="F31" s="4"/>
      <c r="G31" s="4"/>
      <c r="H31" s="4"/>
      <c r="I31" s="4"/>
      <c r="J31" s="4"/>
      <c r="K31" s="4"/>
      <c r="L31" s="4"/>
      <c r="M31" s="4"/>
      <c r="N31" s="4"/>
    </row>
    <row r="32" spans="1:14" x14ac:dyDescent="0.3">
      <c r="A32" s="4"/>
      <c r="B32" s="4"/>
      <c r="C32" s="4"/>
      <c r="D32" s="4"/>
      <c r="E32" s="4"/>
      <c r="F32" s="4"/>
      <c r="G32" s="4"/>
      <c r="H32" s="4"/>
      <c r="I32" s="4"/>
      <c r="J32" s="4"/>
      <c r="K32" s="4"/>
      <c r="L32" s="4"/>
      <c r="M32" s="4"/>
      <c r="N32" s="4"/>
    </row>
    <row r="33" spans="1:14" x14ac:dyDescent="0.3">
      <c r="A33" s="4"/>
      <c r="B33" s="4"/>
      <c r="C33" s="4"/>
      <c r="D33" s="4"/>
      <c r="E33" s="4"/>
      <c r="F33" s="4"/>
      <c r="G33" s="4"/>
      <c r="H33" s="4"/>
      <c r="I33" s="4"/>
      <c r="J33" s="4"/>
      <c r="K33" s="4"/>
      <c r="L33" s="4"/>
      <c r="M33" s="4"/>
      <c r="N33" s="4"/>
    </row>
    <row r="34" spans="1:14" x14ac:dyDescent="0.3">
      <c r="A34" s="4"/>
      <c r="B34" s="4"/>
      <c r="C34" s="4"/>
      <c r="D34" s="4"/>
      <c r="E34" s="4"/>
      <c r="F34" s="4"/>
      <c r="G34" s="4"/>
      <c r="H34" s="4"/>
      <c r="I34" s="4"/>
      <c r="J34" s="4"/>
      <c r="K34" s="4"/>
      <c r="L34" s="4"/>
      <c r="M34" s="4"/>
      <c r="N34" s="4"/>
    </row>
    <row r="35" spans="1:14" x14ac:dyDescent="0.3">
      <c r="A35" s="4"/>
      <c r="B35" s="4"/>
      <c r="C35" s="4"/>
      <c r="D35" s="4"/>
      <c r="E35" s="4"/>
      <c r="F35" s="4"/>
      <c r="G35" s="4"/>
      <c r="H35" s="4"/>
      <c r="I35" s="4"/>
      <c r="J35" s="4"/>
      <c r="K35" s="4"/>
      <c r="L35" s="4"/>
      <c r="M35" s="4"/>
      <c r="N35" s="4"/>
    </row>
    <row r="36" spans="1:14" x14ac:dyDescent="0.3">
      <c r="A36" s="4"/>
      <c r="B36" s="4"/>
      <c r="C36" s="4"/>
      <c r="D36" s="4"/>
      <c r="E36" s="4"/>
      <c r="F36" s="4"/>
      <c r="G36" s="4"/>
      <c r="H36" s="4"/>
      <c r="I36" s="4"/>
      <c r="J36" s="4"/>
      <c r="K36" s="4"/>
      <c r="L36" s="4"/>
      <c r="M36" s="4"/>
      <c r="N36" s="4"/>
    </row>
    <row r="37" spans="1:14" x14ac:dyDescent="0.3">
      <c r="A37" s="4"/>
      <c r="B37" s="4"/>
      <c r="C37" s="4"/>
      <c r="D37" s="4"/>
      <c r="E37" s="4"/>
      <c r="F37" s="4"/>
      <c r="G37" s="4"/>
      <c r="H37" s="4"/>
      <c r="I37" s="4"/>
      <c r="J37" s="4"/>
      <c r="K37" s="4"/>
      <c r="L37" s="4"/>
      <c r="M37" s="4"/>
      <c r="N37" s="4"/>
    </row>
    <row r="38" spans="1:14" x14ac:dyDescent="0.3">
      <c r="A38" s="4"/>
      <c r="B38" s="4"/>
      <c r="C38" s="4"/>
      <c r="D38" s="4"/>
      <c r="E38" s="4"/>
      <c r="F38" s="4"/>
      <c r="G38" s="4"/>
      <c r="H38" s="4"/>
      <c r="I38" s="4"/>
      <c r="J38" s="4"/>
      <c r="K38" s="4"/>
      <c r="L38" s="4"/>
      <c r="M38" s="4"/>
      <c r="N38" s="4"/>
    </row>
    <row r="39" spans="1:14" x14ac:dyDescent="0.3">
      <c r="A39" s="4"/>
      <c r="B39" s="4"/>
      <c r="C39" s="4"/>
      <c r="D39" s="4"/>
      <c r="E39" s="4"/>
      <c r="F39" s="4"/>
      <c r="G39" s="4"/>
      <c r="H39" s="4"/>
      <c r="I39" s="4"/>
      <c r="J39" s="4"/>
      <c r="K39" s="4"/>
      <c r="L39" s="4"/>
      <c r="M39" s="4"/>
      <c r="N39" s="4"/>
    </row>
    <row r="40" spans="1:14" x14ac:dyDescent="0.3">
      <c r="A40" s="4"/>
      <c r="B40" s="4"/>
      <c r="C40" s="4"/>
      <c r="D40" s="4"/>
      <c r="E40" s="4"/>
      <c r="F40" s="4"/>
      <c r="G40" s="4"/>
      <c r="H40" s="4"/>
      <c r="I40" s="4"/>
      <c r="J40" s="4"/>
      <c r="K40" s="4"/>
      <c r="L40" s="4"/>
      <c r="M40" s="4"/>
      <c r="N40" s="4"/>
    </row>
    <row r="41" spans="1:14" x14ac:dyDescent="0.3">
      <c r="A41" s="4"/>
      <c r="B41" s="4"/>
      <c r="C41" s="4"/>
      <c r="D41" s="4"/>
      <c r="E41" s="4"/>
      <c r="F41" s="4"/>
      <c r="G41" s="4"/>
      <c r="H41" s="4"/>
      <c r="I41" s="4"/>
      <c r="J41" s="4"/>
      <c r="K41" s="4"/>
      <c r="L41" s="4"/>
      <c r="M41" s="4"/>
      <c r="N41" s="4"/>
    </row>
    <row r="42" spans="1:14" x14ac:dyDescent="0.3">
      <c r="A42" s="4"/>
      <c r="B42" s="4"/>
      <c r="C42" s="4"/>
      <c r="D42" s="4"/>
      <c r="E42" s="4"/>
      <c r="F42" s="4"/>
      <c r="G42" s="4"/>
      <c r="H42" s="4"/>
      <c r="I42" s="4"/>
      <c r="J42" s="4"/>
      <c r="K42" s="4"/>
      <c r="L42" s="4"/>
      <c r="M42" s="4"/>
      <c r="N42" s="4"/>
    </row>
    <row r="43" spans="1:14" x14ac:dyDescent="0.3">
      <c r="A43" s="4"/>
      <c r="B43" s="4"/>
      <c r="C43" s="4"/>
      <c r="D43" s="4"/>
      <c r="E43" s="4"/>
      <c r="F43" s="4"/>
      <c r="G43" s="4"/>
      <c r="H43" s="4"/>
      <c r="I43" s="4"/>
      <c r="J43" s="4"/>
      <c r="K43" s="4"/>
      <c r="L43" s="4"/>
      <c r="M43" s="4"/>
      <c r="N43" s="4"/>
    </row>
    <row r="44" spans="1:14" x14ac:dyDescent="0.3">
      <c r="A44" s="4"/>
      <c r="B44" s="4"/>
      <c r="C44" s="4"/>
      <c r="D44" s="4"/>
      <c r="E44" s="4"/>
      <c r="F44" s="4"/>
      <c r="G44" s="4"/>
      <c r="H44" s="4"/>
      <c r="I44" s="4"/>
      <c r="J44" s="4"/>
      <c r="K44" s="4"/>
      <c r="L44" s="4"/>
      <c r="M44" s="4"/>
      <c r="N44" s="4"/>
    </row>
    <row r="45" spans="1:14" x14ac:dyDescent="0.3">
      <c r="A45" s="4"/>
      <c r="B45" s="4"/>
      <c r="C45" s="4"/>
      <c r="D45" s="4"/>
      <c r="E45" s="4"/>
      <c r="F45" s="4"/>
      <c r="G45" s="4"/>
      <c r="H45" s="4"/>
      <c r="I45" s="4"/>
      <c r="J45" s="4"/>
      <c r="K45" s="4"/>
      <c r="L45" s="4"/>
      <c r="M45" s="4"/>
      <c r="N45" s="4"/>
    </row>
  </sheetData>
  <mergeCells count="7">
    <mergeCell ref="B1:J1"/>
    <mergeCell ref="B3:D4"/>
    <mergeCell ref="B5:D5"/>
    <mergeCell ref="E3:G4"/>
    <mergeCell ref="E5:G5"/>
    <mergeCell ref="H3:J4"/>
    <mergeCell ref="H5: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0CD88-CF71-4A7A-9390-D291448E30B0}">
  <dimension ref="A1:N144"/>
  <sheetViews>
    <sheetView workbookViewId="0">
      <selection activeCell="D27" sqref="D27"/>
    </sheetView>
  </sheetViews>
  <sheetFormatPr defaultRowHeight="14.4" x14ac:dyDescent="0.3"/>
  <cols>
    <col min="1" max="1" width="25.44140625" bestFit="1" customWidth="1"/>
    <col min="2" max="2" width="17.77734375" bestFit="1" customWidth="1"/>
    <col min="3" max="3" width="3.6640625" customWidth="1"/>
    <col min="4" max="5" width="20.33203125" customWidth="1"/>
    <col min="6" max="6" width="3.6640625" customWidth="1"/>
    <col min="7" max="8" width="20.33203125" customWidth="1"/>
    <col min="9" max="9" width="3.6640625" customWidth="1"/>
    <col min="10" max="11" width="20.33203125" customWidth="1"/>
    <col min="12" max="12" width="3.6640625" customWidth="1"/>
    <col min="13" max="14" width="20.33203125" customWidth="1"/>
  </cols>
  <sheetData>
    <row r="1" spans="1:14" ht="17.399999999999999" x14ac:dyDescent="0.35">
      <c r="A1" s="6" t="s">
        <v>282</v>
      </c>
      <c r="D1" s="6" t="s">
        <v>283</v>
      </c>
      <c r="G1" s="6" t="s">
        <v>284</v>
      </c>
      <c r="J1" s="6" t="s">
        <v>285</v>
      </c>
      <c r="M1" s="6" t="s">
        <v>286</v>
      </c>
    </row>
    <row r="3" spans="1:14" x14ac:dyDescent="0.3">
      <c r="A3" s="2" t="s">
        <v>209</v>
      </c>
      <c r="B3" t="s">
        <v>211</v>
      </c>
      <c r="D3" s="2" t="s">
        <v>209</v>
      </c>
      <c r="E3" t="s">
        <v>211</v>
      </c>
      <c r="G3" s="2" t="s">
        <v>209</v>
      </c>
      <c r="H3" t="s">
        <v>211</v>
      </c>
      <c r="J3" s="2" t="s">
        <v>209</v>
      </c>
      <c r="K3" t="s">
        <v>211</v>
      </c>
      <c r="M3" s="2" t="s">
        <v>209</v>
      </c>
      <c r="N3" t="s">
        <v>211</v>
      </c>
    </row>
    <row r="4" spans="1:14" x14ac:dyDescent="0.3">
      <c r="A4" s="3" t="s">
        <v>62</v>
      </c>
      <c r="B4">
        <v>5190.8600959777832</v>
      </c>
      <c r="D4" s="3" t="s">
        <v>10</v>
      </c>
      <c r="E4">
        <v>41737.450263977051</v>
      </c>
      <c r="G4" s="3" t="s">
        <v>213</v>
      </c>
      <c r="H4">
        <v>3283.9300003051758</v>
      </c>
      <c r="J4" s="3" t="s">
        <v>28</v>
      </c>
      <c r="K4">
        <v>9226.25</v>
      </c>
      <c r="M4" s="3" t="s">
        <v>113</v>
      </c>
      <c r="N4">
        <v>451.74998474121094</v>
      </c>
    </row>
    <row r="5" spans="1:14" x14ac:dyDescent="0.3">
      <c r="A5" s="3" t="s">
        <v>162</v>
      </c>
      <c r="B5">
        <v>3367.5</v>
      </c>
      <c r="D5" s="3" t="s">
        <v>18</v>
      </c>
      <c r="E5">
        <v>28028.619682312012</v>
      </c>
      <c r="G5" s="3" t="s">
        <v>214</v>
      </c>
      <c r="H5">
        <v>1746.3699951171875</v>
      </c>
      <c r="J5" s="3" t="s">
        <v>23</v>
      </c>
      <c r="K5">
        <v>22404.86003112793</v>
      </c>
      <c r="M5" s="3" t="s">
        <v>177</v>
      </c>
      <c r="N5">
        <v>47.130001068115234</v>
      </c>
    </row>
    <row r="6" spans="1:14" x14ac:dyDescent="0.3">
      <c r="A6" s="3" t="s">
        <v>105</v>
      </c>
      <c r="B6">
        <v>5724.2500610351563</v>
      </c>
      <c r="D6" s="3" t="s">
        <v>53</v>
      </c>
      <c r="E6">
        <v>52042.6298828125</v>
      </c>
      <c r="G6" s="3" t="s">
        <v>215</v>
      </c>
      <c r="H6">
        <v>2169.75</v>
      </c>
      <c r="J6" s="3" t="s">
        <v>11</v>
      </c>
      <c r="K6">
        <v>30259.770141601563</v>
      </c>
      <c r="M6" s="3" t="s">
        <v>35</v>
      </c>
      <c r="N6">
        <v>2063.699951171875</v>
      </c>
    </row>
    <row r="7" spans="1:14" x14ac:dyDescent="0.3">
      <c r="A7" s="3" t="s">
        <v>60</v>
      </c>
      <c r="B7">
        <v>6000.3800048828125</v>
      </c>
      <c r="D7" s="3" t="s">
        <v>14</v>
      </c>
      <c r="E7">
        <v>40516.250078201294</v>
      </c>
      <c r="G7" s="3" t="s">
        <v>216</v>
      </c>
      <c r="H7">
        <v>1934.8200378417969</v>
      </c>
      <c r="J7" s="3" t="s">
        <v>67</v>
      </c>
      <c r="K7">
        <v>15577.629692077637</v>
      </c>
      <c r="M7" s="3" t="s">
        <v>26</v>
      </c>
      <c r="N7">
        <v>2866.0599975585938</v>
      </c>
    </row>
    <row r="8" spans="1:14" x14ac:dyDescent="0.3">
      <c r="A8" s="3" t="s">
        <v>197</v>
      </c>
      <c r="B8">
        <v>1754.5999755859375</v>
      </c>
      <c r="D8" s="3" t="s">
        <v>34</v>
      </c>
      <c r="E8">
        <v>36091.750213623047</v>
      </c>
      <c r="G8" s="3" t="s">
        <v>217</v>
      </c>
      <c r="H8">
        <v>4095.4500732421875</v>
      </c>
      <c r="J8" s="3" t="s">
        <v>15</v>
      </c>
      <c r="K8">
        <v>164717.80023384094</v>
      </c>
      <c r="M8" s="3" t="s">
        <v>196</v>
      </c>
      <c r="N8">
        <v>1754.5999755859375</v>
      </c>
    </row>
    <row r="9" spans="1:14" x14ac:dyDescent="0.3">
      <c r="A9" s="3" t="s">
        <v>80</v>
      </c>
      <c r="B9">
        <v>3832.190055847168</v>
      </c>
      <c r="D9" s="3" t="s">
        <v>31</v>
      </c>
      <c r="E9">
        <v>43769.609977722168</v>
      </c>
      <c r="G9" s="3" t="s">
        <v>218</v>
      </c>
      <c r="H9">
        <v>2037.1700439453125</v>
      </c>
      <c r="J9" s="3" t="s">
        <v>210</v>
      </c>
      <c r="K9">
        <v>242186.31009864807</v>
      </c>
      <c r="M9" s="3" t="s">
        <v>128</v>
      </c>
      <c r="N9">
        <v>553.1300048828125</v>
      </c>
    </row>
    <row r="10" spans="1:14" x14ac:dyDescent="0.3">
      <c r="A10" s="3" t="s">
        <v>38</v>
      </c>
      <c r="B10">
        <v>3575.4999694824219</v>
      </c>
      <c r="D10" s="3" t="s">
        <v>210</v>
      </c>
      <c r="E10">
        <v>242186.31009864807</v>
      </c>
      <c r="G10" s="3" t="s">
        <v>219</v>
      </c>
      <c r="H10">
        <v>4191.7999725341797</v>
      </c>
      <c r="M10" s="3" t="s">
        <v>21</v>
      </c>
      <c r="N10">
        <v>821.3599853515625</v>
      </c>
    </row>
    <row r="11" spans="1:14" x14ac:dyDescent="0.3">
      <c r="A11" s="3" t="s">
        <v>99</v>
      </c>
      <c r="B11">
        <v>3937.7100372314453</v>
      </c>
      <c r="G11" s="3" t="s">
        <v>220</v>
      </c>
      <c r="H11">
        <v>4521.8600463867188</v>
      </c>
      <c r="M11" s="3" t="s">
        <v>154</v>
      </c>
      <c r="N11">
        <v>2639.0999755859375</v>
      </c>
    </row>
    <row r="12" spans="1:14" x14ac:dyDescent="0.3">
      <c r="A12" s="3" t="s">
        <v>25</v>
      </c>
      <c r="B12">
        <v>9672.4600524902344</v>
      </c>
      <c r="G12" s="3" t="s">
        <v>221</v>
      </c>
      <c r="H12">
        <v>506.8599853515625</v>
      </c>
      <c r="M12" s="3" t="s">
        <v>51</v>
      </c>
      <c r="N12">
        <v>5636.320068359375</v>
      </c>
    </row>
    <row r="13" spans="1:14" x14ac:dyDescent="0.3">
      <c r="A13" s="3" t="s">
        <v>145</v>
      </c>
      <c r="B13">
        <v>1228.1399841308594</v>
      </c>
      <c r="G13" s="3" t="s">
        <v>222</v>
      </c>
      <c r="H13">
        <v>1626.2499389648438</v>
      </c>
      <c r="M13" s="3" t="s">
        <v>61</v>
      </c>
      <c r="N13">
        <v>4443.3899421691895</v>
      </c>
    </row>
    <row r="14" spans="1:14" x14ac:dyDescent="0.3">
      <c r="A14" s="3" t="s">
        <v>45</v>
      </c>
      <c r="B14">
        <v>5441.6299438476563</v>
      </c>
      <c r="G14" s="3" t="s">
        <v>223</v>
      </c>
      <c r="H14">
        <v>6082.5301513671875</v>
      </c>
      <c r="M14" s="3" t="s">
        <v>139</v>
      </c>
      <c r="N14">
        <v>1312.47998046875</v>
      </c>
    </row>
    <row r="15" spans="1:14" x14ac:dyDescent="0.3">
      <c r="A15" s="3" t="s">
        <v>27</v>
      </c>
      <c r="B15">
        <v>8230.2801208496094</v>
      </c>
      <c r="G15" s="3" t="s">
        <v>224</v>
      </c>
      <c r="H15">
        <v>910.52001953125</v>
      </c>
      <c r="M15" s="3" t="s">
        <v>190</v>
      </c>
      <c r="N15">
        <v>1162.3800048828125</v>
      </c>
    </row>
    <row r="16" spans="1:14" x14ac:dyDescent="0.3">
      <c r="A16" s="3" t="s">
        <v>9</v>
      </c>
      <c r="B16">
        <v>2634.9899826049805</v>
      </c>
      <c r="G16" s="3" t="s">
        <v>225</v>
      </c>
      <c r="H16">
        <v>5003.4699401855469</v>
      </c>
      <c r="M16" s="3" t="s">
        <v>180</v>
      </c>
      <c r="N16">
        <v>210.5</v>
      </c>
    </row>
    <row r="17" spans="1:14" x14ac:dyDescent="0.3">
      <c r="A17" s="3" t="s">
        <v>129</v>
      </c>
      <c r="B17">
        <v>6737.3399887084961</v>
      </c>
      <c r="G17" s="3" t="s">
        <v>226</v>
      </c>
      <c r="H17">
        <v>4533.2899475097656</v>
      </c>
      <c r="M17" s="3" t="s">
        <v>133</v>
      </c>
      <c r="N17">
        <v>2918.3599243164063</v>
      </c>
    </row>
    <row r="18" spans="1:14" x14ac:dyDescent="0.3">
      <c r="A18" s="3" t="s">
        <v>181</v>
      </c>
      <c r="B18">
        <v>189.35000610351563</v>
      </c>
      <c r="G18" s="3" t="s">
        <v>227</v>
      </c>
      <c r="H18">
        <v>1291.2999877929688</v>
      </c>
      <c r="M18" s="3" t="s">
        <v>32</v>
      </c>
      <c r="N18">
        <v>1483.3800048828125</v>
      </c>
    </row>
    <row r="19" spans="1:14" x14ac:dyDescent="0.3">
      <c r="A19" s="3" t="s">
        <v>116</v>
      </c>
      <c r="B19">
        <v>3092.0899963378906</v>
      </c>
      <c r="G19" s="3" t="s">
        <v>228</v>
      </c>
      <c r="H19">
        <v>1216.010009765625</v>
      </c>
      <c r="M19" s="3" t="s">
        <v>167</v>
      </c>
      <c r="N19">
        <v>2314.5400390625</v>
      </c>
    </row>
    <row r="20" spans="1:14" x14ac:dyDescent="0.3">
      <c r="A20" s="3" t="s">
        <v>73</v>
      </c>
      <c r="B20">
        <v>2234.7500610351563</v>
      </c>
      <c r="G20" s="3" t="s">
        <v>229</v>
      </c>
      <c r="H20">
        <v>6792.0198516845703</v>
      </c>
      <c r="M20" s="3" t="s">
        <v>121</v>
      </c>
      <c r="N20">
        <v>403.67001342773438</v>
      </c>
    </row>
    <row r="21" spans="1:14" x14ac:dyDescent="0.3">
      <c r="A21" s="3" t="s">
        <v>50</v>
      </c>
      <c r="B21">
        <v>7900.6599502563477</v>
      </c>
      <c r="G21" s="3" t="s">
        <v>230</v>
      </c>
      <c r="H21">
        <v>2899.75</v>
      </c>
      <c r="M21" s="3" t="s">
        <v>114</v>
      </c>
      <c r="N21">
        <v>1662.1099853515625</v>
      </c>
    </row>
    <row r="22" spans="1:14" x14ac:dyDescent="0.3">
      <c r="A22" s="3" t="s">
        <v>136</v>
      </c>
      <c r="B22">
        <v>4105.8601608276367</v>
      </c>
      <c r="G22" s="3" t="s">
        <v>231</v>
      </c>
      <c r="H22">
        <v>8201.8899841308594</v>
      </c>
      <c r="M22" s="3" t="s">
        <v>115</v>
      </c>
      <c r="N22">
        <v>571.58998870849609</v>
      </c>
    </row>
    <row r="23" spans="1:14" x14ac:dyDescent="0.3">
      <c r="A23" s="3" t="s">
        <v>82</v>
      </c>
      <c r="B23">
        <v>12305.520004272461</v>
      </c>
      <c r="G23" s="3" t="s">
        <v>232</v>
      </c>
      <c r="H23">
        <v>3608.820068359375</v>
      </c>
      <c r="M23" s="3" t="s">
        <v>46</v>
      </c>
      <c r="N23">
        <v>3004.4300231933594</v>
      </c>
    </row>
    <row r="24" spans="1:14" x14ac:dyDescent="0.3">
      <c r="A24" s="3" t="s">
        <v>30</v>
      </c>
      <c r="B24">
        <v>6734.9499816894531</v>
      </c>
      <c r="G24" s="3" t="s">
        <v>233</v>
      </c>
      <c r="H24">
        <v>3371.9600677490234</v>
      </c>
      <c r="M24" s="3" t="s">
        <v>204</v>
      </c>
      <c r="N24">
        <v>1674.22998046875</v>
      </c>
    </row>
    <row r="25" spans="1:14" x14ac:dyDescent="0.3">
      <c r="A25" s="3" t="s">
        <v>33</v>
      </c>
      <c r="B25">
        <v>7469.8499450683594</v>
      </c>
      <c r="G25" s="3" t="s">
        <v>234</v>
      </c>
      <c r="H25">
        <v>2132.75</v>
      </c>
      <c r="M25" s="3" t="s">
        <v>90</v>
      </c>
      <c r="N25">
        <v>862.52999877929688</v>
      </c>
    </row>
    <row r="26" spans="1:14" x14ac:dyDescent="0.3">
      <c r="A26" s="3" t="s">
        <v>103</v>
      </c>
      <c r="B26">
        <v>5577.6700134277344</v>
      </c>
      <c r="G26" s="3" t="s">
        <v>235</v>
      </c>
      <c r="H26">
        <v>6927.3499755859375</v>
      </c>
      <c r="M26" s="3" t="s">
        <v>87</v>
      </c>
      <c r="N26">
        <v>1106.25</v>
      </c>
    </row>
    <row r="27" spans="1:14" x14ac:dyDescent="0.3">
      <c r="A27" s="3" t="s">
        <v>66</v>
      </c>
      <c r="B27">
        <v>2845.3399963378906</v>
      </c>
      <c r="G27" s="3" t="s">
        <v>236</v>
      </c>
      <c r="H27">
        <v>3163.1299591064453</v>
      </c>
      <c r="M27" s="3" t="s">
        <v>84</v>
      </c>
      <c r="N27">
        <v>4770.5499877929688</v>
      </c>
    </row>
    <row r="28" spans="1:14" x14ac:dyDescent="0.3">
      <c r="A28" s="3" t="s">
        <v>125</v>
      </c>
      <c r="B28">
        <v>1771.3300170898438</v>
      </c>
      <c r="G28" s="3" t="s">
        <v>237</v>
      </c>
      <c r="H28">
        <v>3330.8600616455078</v>
      </c>
      <c r="M28" s="3" t="s">
        <v>189</v>
      </c>
      <c r="N28">
        <v>1238.3499755859375</v>
      </c>
    </row>
    <row r="29" spans="1:14" x14ac:dyDescent="0.3">
      <c r="A29" s="3" t="s">
        <v>75</v>
      </c>
      <c r="B29">
        <v>1766.4200134277344</v>
      </c>
      <c r="G29" s="3" t="s">
        <v>238</v>
      </c>
      <c r="H29">
        <v>6990.0501708984375</v>
      </c>
      <c r="M29" s="3" t="s">
        <v>49</v>
      </c>
      <c r="N29">
        <v>4420.2699584960938</v>
      </c>
    </row>
    <row r="30" spans="1:14" x14ac:dyDescent="0.3">
      <c r="A30" s="3" t="s">
        <v>13</v>
      </c>
      <c r="B30">
        <v>7082.0700836181641</v>
      </c>
      <c r="G30" s="3" t="s">
        <v>239</v>
      </c>
      <c r="H30">
        <v>6813.5400085449219</v>
      </c>
      <c r="M30" s="3" t="s">
        <v>184</v>
      </c>
      <c r="N30">
        <v>1396.97998046875</v>
      </c>
    </row>
    <row r="31" spans="1:14" x14ac:dyDescent="0.3">
      <c r="A31" s="3" t="s">
        <v>94</v>
      </c>
      <c r="B31">
        <v>2939.9500122070313</v>
      </c>
      <c r="G31" s="3" t="s">
        <v>240</v>
      </c>
      <c r="H31">
        <v>4867.900146484375</v>
      </c>
      <c r="M31" s="3" t="s">
        <v>47</v>
      </c>
      <c r="N31">
        <v>4233.8299865722656</v>
      </c>
    </row>
    <row r="32" spans="1:14" x14ac:dyDescent="0.3">
      <c r="A32" s="3" t="s">
        <v>98</v>
      </c>
      <c r="B32">
        <v>7675.4500484466553</v>
      </c>
      <c r="G32" s="3" t="s">
        <v>241</v>
      </c>
      <c r="H32">
        <v>7684.3299560546875</v>
      </c>
      <c r="M32" s="3" t="s">
        <v>119</v>
      </c>
      <c r="N32">
        <v>945.52999877929688</v>
      </c>
    </row>
    <row r="33" spans="1:14" x14ac:dyDescent="0.3">
      <c r="A33" s="3" t="s">
        <v>185</v>
      </c>
      <c r="B33">
        <v>2251.5799560546875</v>
      </c>
      <c r="G33" s="3" t="s">
        <v>242</v>
      </c>
      <c r="H33">
        <v>943.58999633789063</v>
      </c>
      <c r="M33" s="3" t="s">
        <v>100</v>
      </c>
      <c r="N33">
        <v>1236.260009765625</v>
      </c>
    </row>
    <row r="34" spans="1:14" x14ac:dyDescent="0.3">
      <c r="A34" s="3" t="s">
        <v>70</v>
      </c>
      <c r="B34">
        <v>4829.4800567626953</v>
      </c>
      <c r="G34" s="3" t="s">
        <v>243</v>
      </c>
      <c r="H34">
        <v>795.510009765625</v>
      </c>
      <c r="M34" s="3" t="s">
        <v>104</v>
      </c>
      <c r="N34">
        <v>515.67001342773438</v>
      </c>
    </row>
    <row r="35" spans="1:14" x14ac:dyDescent="0.3">
      <c r="A35" s="3" t="s">
        <v>89</v>
      </c>
      <c r="B35">
        <v>3554.9599609375</v>
      </c>
      <c r="G35" s="3" t="s">
        <v>244</v>
      </c>
      <c r="H35">
        <v>5370.329891204834</v>
      </c>
      <c r="M35" s="3" t="s">
        <v>178</v>
      </c>
      <c r="N35">
        <v>875.04998779296875</v>
      </c>
    </row>
    <row r="36" spans="1:14" x14ac:dyDescent="0.3">
      <c r="A36" s="3" t="s">
        <v>17</v>
      </c>
      <c r="B36">
        <v>3543.9301147460938</v>
      </c>
      <c r="G36" s="3" t="s">
        <v>245</v>
      </c>
      <c r="H36">
        <v>2636.739990234375</v>
      </c>
      <c r="M36" s="3" t="s">
        <v>118</v>
      </c>
      <c r="N36">
        <v>1615.6700439453125</v>
      </c>
    </row>
    <row r="37" spans="1:14" x14ac:dyDescent="0.3">
      <c r="A37" s="3" t="s">
        <v>40</v>
      </c>
      <c r="B37">
        <v>2906.7200317382813</v>
      </c>
      <c r="G37" s="3" t="s">
        <v>246</v>
      </c>
      <c r="H37">
        <v>3989.5400695800781</v>
      </c>
      <c r="M37" s="3" t="s">
        <v>123</v>
      </c>
      <c r="N37">
        <v>1406.030029296875</v>
      </c>
    </row>
    <row r="38" spans="1:14" x14ac:dyDescent="0.3">
      <c r="A38" s="3" t="s">
        <v>52</v>
      </c>
      <c r="B38">
        <v>6040.7800598144531</v>
      </c>
      <c r="G38" s="3" t="s">
        <v>247</v>
      </c>
      <c r="H38">
        <v>5629.7099990844727</v>
      </c>
      <c r="M38" s="3" t="s">
        <v>183</v>
      </c>
      <c r="N38">
        <v>422.44000244140625</v>
      </c>
    </row>
    <row r="39" spans="1:14" x14ac:dyDescent="0.3">
      <c r="A39" s="3" t="s">
        <v>108</v>
      </c>
      <c r="B39">
        <v>4757.35009765625</v>
      </c>
      <c r="G39" s="3" t="s">
        <v>248</v>
      </c>
      <c r="H39">
        <v>5234.1900024414063</v>
      </c>
      <c r="M39" s="3" t="s">
        <v>173</v>
      </c>
      <c r="N39">
        <v>908.90997314453125</v>
      </c>
    </row>
    <row r="40" spans="1:14" x14ac:dyDescent="0.3">
      <c r="A40" s="3" t="s">
        <v>48</v>
      </c>
      <c r="B40">
        <v>5816.1799621582031</v>
      </c>
      <c r="G40" s="3" t="s">
        <v>249</v>
      </c>
      <c r="H40">
        <v>5150.739990234375</v>
      </c>
      <c r="M40" s="3" t="s">
        <v>79</v>
      </c>
      <c r="N40">
        <v>2427.31005859375</v>
      </c>
    </row>
    <row r="41" spans="1:14" x14ac:dyDescent="0.3">
      <c r="A41" s="3" t="s">
        <v>64</v>
      </c>
      <c r="B41">
        <v>11239.999786376953</v>
      </c>
      <c r="G41" s="3" t="s">
        <v>250</v>
      </c>
      <c r="H41">
        <v>4685.7500305175781</v>
      </c>
      <c r="M41" s="3" t="s">
        <v>170</v>
      </c>
      <c r="N41">
        <v>1237.4099578857422</v>
      </c>
    </row>
    <row r="42" spans="1:14" x14ac:dyDescent="0.3">
      <c r="A42" s="3" t="s">
        <v>58</v>
      </c>
      <c r="B42">
        <v>4898.0499877929688</v>
      </c>
      <c r="G42" s="3" t="s">
        <v>251</v>
      </c>
      <c r="H42">
        <v>2953.1799373626709</v>
      </c>
      <c r="M42" s="3" t="s">
        <v>188</v>
      </c>
      <c r="N42">
        <v>763.30999755859375</v>
      </c>
    </row>
    <row r="43" spans="1:14" x14ac:dyDescent="0.3">
      <c r="A43" s="3" t="s">
        <v>56</v>
      </c>
      <c r="B43">
        <v>8242.7199859619141</v>
      </c>
      <c r="G43" s="3" t="s">
        <v>252</v>
      </c>
      <c r="H43">
        <v>2013.6099243164063</v>
      </c>
      <c r="M43" s="3" t="s">
        <v>148</v>
      </c>
      <c r="N43">
        <v>165.80999755859375</v>
      </c>
    </row>
    <row r="44" spans="1:14" x14ac:dyDescent="0.3">
      <c r="A44" s="3" t="s">
        <v>122</v>
      </c>
      <c r="B44">
        <v>8602.1100120544434</v>
      </c>
      <c r="G44" s="3" t="s">
        <v>253</v>
      </c>
      <c r="H44">
        <v>2993.929931640625</v>
      </c>
      <c r="M44" s="3" t="s">
        <v>106</v>
      </c>
      <c r="N44">
        <v>3166.3600158691406</v>
      </c>
    </row>
    <row r="45" spans="1:14" x14ac:dyDescent="0.3">
      <c r="A45" s="3" t="s">
        <v>22</v>
      </c>
      <c r="B45">
        <v>3060.169921875</v>
      </c>
      <c r="G45" s="3" t="s">
        <v>254</v>
      </c>
      <c r="H45">
        <v>5797.9899673461914</v>
      </c>
      <c r="M45" s="3" t="s">
        <v>39</v>
      </c>
      <c r="N45">
        <v>3766.9799499511719</v>
      </c>
    </row>
    <row r="46" spans="1:14" x14ac:dyDescent="0.3">
      <c r="A46" s="3" t="s">
        <v>110</v>
      </c>
      <c r="B46">
        <v>1055.9699821472168</v>
      </c>
      <c r="G46" s="3" t="s">
        <v>255</v>
      </c>
      <c r="H46">
        <v>2552.4900588989258</v>
      </c>
      <c r="M46" s="3" t="s">
        <v>205</v>
      </c>
      <c r="N46">
        <v>1814.6600341796875</v>
      </c>
    </row>
    <row r="47" spans="1:14" x14ac:dyDescent="0.3">
      <c r="A47" s="3" t="s">
        <v>42</v>
      </c>
      <c r="B47">
        <v>4588.0399780273438</v>
      </c>
      <c r="G47" s="3" t="s">
        <v>256</v>
      </c>
      <c r="H47">
        <v>2326.2701110839844</v>
      </c>
      <c r="M47" s="3" t="s">
        <v>201</v>
      </c>
      <c r="N47">
        <v>473.75</v>
      </c>
    </row>
    <row r="48" spans="1:14" x14ac:dyDescent="0.3">
      <c r="A48" s="3" t="s">
        <v>85</v>
      </c>
      <c r="B48">
        <v>8594.5399475097656</v>
      </c>
      <c r="G48" s="3" t="s">
        <v>257</v>
      </c>
      <c r="H48">
        <v>6594.1798858642578</v>
      </c>
      <c r="M48" s="3" t="s">
        <v>160</v>
      </c>
      <c r="N48">
        <v>698.77997970581055</v>
      </c>
    </row>
    <row r="49" spans="1:14" x14ac:dyDescent="0.3">
      <c r="A49" s="3" t="s">
        <v>20</v>
      </c>
      <c r="B49">
        <v>1653.0399627685547</v>
      </c>
      <c r="G49" s="3" t="s">
        <v>258</v>
      </c>
      <c r="H49">
        <v>4345.9900665283203</v>
      </c>
      <c r="M49" s="3" t="s">
        <v>24</v>
      </c>
      <c r="N49">
        <v>6754</v>
      </c>
    </row>
    <row r="50" spans="1:14" x14ac:dyDescent="0.3">
      <c r="A50" s="3" t="s">
        <v>107</v>
      </c>
      <c r="B50">
        <v>5660.6099243164063</v>
      </c>
      <c r="G50" s="3" t="s">
        <v>259</v>
      </c>
      <c r="H50">
        <v>5101.1298828125</v>
      </c>
      <c r="M50" s="3" t="s">
        <v>151</v>
      </c>
      <c r="N50">
        <v>1764.4899291992188</v>
      </c>
    </row>
    <row r="51" spans="1:14" x14ac:dyDescent="0.3">
      <c r="A51" s="3" t="s">
        <v>134</v>
      </c>
      <c r="B51">
        <v>6875.5098571777344</v>
      </c>
      <c r="G51" s="3" t="s">
        <v>260</v>
      </c>
      <c r="H51">
        <v>3864.489990234375</v>
      </c>
      <c r="M51" s="3" t="s">
        <v>203</v>
      </c>
      <c r="N51">
        <v>824.03997802734375</v>
      </c>
    </row>
    <row r="52" spans="1:14" x14ac:dyDescent="0.3">
      <c r="A52" s="3" t="s">
        <v>36</v>
      </c>
      <c r="B52">
        <v>886.76998901367188</v>
      </c>
      <c r="G52" s="3" t="s">
        <v>261</v>
      </c>
      <c r="H52">
        <v>7853.6400146484375</v>
      </c>
      <c r="M52" s="3" t="s">
        <v>131</v>
      </c>
      <c r="N52">
        <v>2103.179931640625</v>
      </c>
    </row>
    <row r="53" spans="1:14" x14ac:dyDescent="0.3">
      <c r="A53" s="3" t="s">
        <v>147</v>
      </c>
      <c r="B53">
        <v>2108.7099609375</v>
      </c>
      <c r="G53" s="3" t="s">
        <v>262</v>
      </c>
      <c r="H53">
        <v>7507.1500511169434</v>
      </c>
      <c r="M53" s="3" t="s">
        <v>83</v>
      </c>
      <c r="N53">
        <v>4367.550048828125</v>
      </c>
    </row>
    <row r="54" spans="1:14" x14ac:dyDescent="0.3">
      <c r="A54" s="3" t="s">
        <v>210</v>
      </c>
      <c r="B54">
        <v>242186.31009864807</v>
      </c>
      <c r="G54" s="3" t="s">
        <v>263</v>
      </c>
      <c r="H54">
        <v>5216.830078125</v>
      </c>
      <c r="M54" s="3" t="s">
        <v>200</v>
      </c>
      <c r="N54">
        <v>2107.679931640625</v>
      </c>
    </row>
    <row r="55" spans="1:14" x14ac:dyDescent="0.3">
      <c r="G55" s="3" t="s">
        <v>264</v>
      </c>
      <c r="H55">
        <v>3519.9098968505859</v>
      </c>
      <c r="M55" s="3" t="s">
        <v>44</v>
      </c>
      <c r="N55">
        <v>1790.3400268554688</v>
      </c>
    </row>
    <row r="56" spans="1:14" x14ac:dyDescent="0.3">
      <c r="G56" s="3" t="s">
        <v>265</v>
      </c>
      <c r="H56">
        <v>6664.47998046875</v>
      </c>
      <c r="M56" s="3" t="s">
        <v>76</v>
      </c>
      <c r="N56">
        <v>1637.1099548339844</v>
      </c>
    </row>
    <row r="57" spans="1:14" x14ac:dyDescent="0.3">
      <c r="G57" s="3" t="s">
        <v>266</v>
      </c>
      <c r="H57">
        <v>991.72000122070313</v>
      </c>
      <c r="M57" s="3" t="s">
        <v>120</v>
      </c>
      <c r="N57">
        <v>2073.679931640625</v>
      </c>
    </row>
    <row r="58" spans="1:14" x14ac:dyDescent="0.3">
      <c r="G58" s="3" t="s">
        <v>267</v>
      </c>
      <c r="H58">
        <v>1937.1499633789063</v>
      </c>
      <c r="M58" s="3" t="s">
        <v>168</v>
      </c>
      <c r="N58">
        <v>929.77001953125</v>
      </c>
    </row>
    <row r="59" spans="1:14" x14ac:dyDescent="0.3">
      <c r="G59" s="3" t="s">
        <v>268</v>
      </c>
      <c r="H59">
        <v>8076.3100280761719</v>
      </c>
      <c r="M59" s="3" t="s">
        <v>194</v>
      </c>
      <c r="N59">
        <v>848.20001220703125</v>
      </c>
    </row>
    <row r="60" spans="1:14" x14ac:dyDescent="0.3">
      <c r="G60" s="3" t="s">
        <v>269</v>
      </c>
      <c r="H60">
        <v>3456.97998046875</v>
      </c>
      <c r="M60" s="3" t="s">
        <v>169</v>
      </c>
      <c r="N60">
        <v>2542.080078125</v>
      </c>
    </row>
    <row r="61" spans="1:14" x14ac:dyDescent="0.3">
      <c r="G61" s="3" t="s">
        <v>270</v>
      </c>
      <c r="H61">
        <v>5029.9500846862793</v>
      </c>
      <c r="M61" s="3" t="s">
        <v>187</v>
      </c>
      <c r="N61">
        <v>1194.8299560546875</v>
      </c>
    </row>
    <row r="62" spans="1:14" x14ac:dyDescent="0.3">
      <c r="G62" s="3" t="s">
        <v>271</v>
      </c>
      <c r="H62">
        <v>5116.6098937988281</v>
      </c>
      <c r="M62" s="3" t="s">
        <v>155</v>
      </c>
      <c r="N62">
        <v>627.44000244140625</v>
      </c>
    </row>
    <row r="63" spans="1:14" x14ac:dyDescent="0.3">
      <c r="G63" s="3" t="s">
        <v>272</v>
      </c>
      <c r="H63">
        <v>1900.489990234375</v>
      </c>
      <c r="M63" s="3" t="s">
        <v>142</v>
      </c>
      <c r="N63">
        <v>456.25998687744141</v>
      </c>
    </row>
    <row r="64" spans="1:14" x14ac:dyDescent="0.3">
      <c r="G64" s="3" t="s">
        <v>210</v>
      </c>
      <c r="H64">
        <v>242186.31009864807</v>
      </c>
      <c r="M64" s="3" t="s">
        <v>91</v>
      </c>
      <c r="N64">
        <v>3033.1900939941406</v>
      </c>
    </row>
    <row r="65" spans="13:14" x14ac:dyDescent="0.3">
      <c r="M65" s="3" t="s">
        <v>130</v>
      </c>
      <c r="N65">
        <v>147.96000671386719</v>
      </c>
    </row>
    <row r="66" spans="13:14" x14ac:dyDescent="0.3">
      <c r="M66" s="3" t="s">
        <v>124</v>
      </c>
      <c r="N66">
        <v>166.55000305175781</v>
      </c>
    </row>
    <row r="67" spans="13:14" x14ac:dyDescent="0.3">
      <c r="M67" s="3" t="s">
        <v>161</v>
      </c>
      <c r="N67">
        <v>2559.719970703125</v>
      </c>
    </row>
    <row r="68" spans="13:14" x14ac:dyDescent="0.3">
      <c r="M68" s="3" t="s">
        <v>101</v>
      </c>
      <c r="N68">
        <v>1206.4200439453125</v>
      </c>
    </row>
    <row r="69" spans="13:14" x14ac:dyDescent="0.3">
      <c r="M69" s="3" t="s">
        <v>186</v>
      </c>
      <c r="N69">
        <v>2610.89990234375</v>
      </c>
    </row>
    <row r="70" spans="13:14" x14ac:dyDescent="0.3">
      <c r="M70" s="3" t="s">
        <v>152</v>
      </c>
      <c r="N70">
        <v>1117.280029296875</v>
      </c>
    </row>
    <row r="71" spans="13:14" x14ac:dyDescent="0.3">
      <c r="M71" s="3" t="s">
        <v>12</v>
      </c>
      <c r="N71">
        <v>259.6400146484375</v>
      </c>
    </row>
    <row r="72" spans="13:14" x14ac:dyDescent="0.3">
      <c r="M72" s="3" t="s">
        <v>111</v>
      </c>
      <c r="N72">
        <v>868.14999389648438</v>
      </c>
    </row>
    <row r="73" spans="13:14" x14ac:dyDescent="0.3">
      <c r="M73" s="3" t="s">
        <v>43</v>
      </c>
      <c r="N73">
        <v>4757.6700744628906</v>
      </c>
    </row>
    <row r="74" spans="13:14" x14ac:dyDescent="0.3">
      <c r="M74" s="3" t="s">
        <v>93</v>
      </c>
      <c r="N74">
        <v>3477.4700927734375</v>
      </c>
    </row>
    <row r="75" spans="13:14" x14ac:dyDescent="0.3">
      <c r="M75" s="3" t="s">
        <v>78</v>
      </c>
      <c r="N75">
        <v>1902.6699523925781</v>
      </c>
    </row>
    <row r="76" spans="13:14" x14ac:dyDescent="0.3">
      <c r="M76" s="3" t="s">
        <v>176</v>
      </c>
      <c r="N76">
        <v>1218.27001953125</v>
      </c>
    </row>
    <row r="77" spans="13:14" x14ac:dyDescent="0.3">
      <c r="M77" s="3" t="s">
        <v>63</v>
      </c>
      <c r="N77">
        <v>1286.8599853515625</v>
      </c>
    </row>
    <row r="78" spans="13:14" x14ac:dyDescent="0.3">
      <c r="M78" s="3" t="s">
        <v>126</v>
      </c>
      <c r="N78">
        <v>1525.1299591064453</v>
      </c>
    </row>
    <row r="79" spans="13:14" x14ac:dyDescent="0.3">
      <c r="M79" s="3" t="s">
        <v>112</v>
      </c>
      <c r="N79">
        <v>5957.380126953125</v>
      </c>
    </row>
    <row r="80" spans="13:14" x14ac:dyDescent="0.3">
      <c r="M80" s="3" t="s">
        <v>117</v>
      </c>
      <c r="N80">
        <v>3736.0499267578125</v>
      </c>
    </row>
    <row r="81" spans="13:14" x14ac:dyDescent="0.3">
      <c r="M81" s="3" t="s">
        <v>69</v>
      </c>
      <c r="N81">
        <v>1456.9200134277344</v>
      </c>
    </row>
    <row r="82" spans="13:14" x14ac:dyDescent="0.3">
      <c r="M82" s="3" t="s">
        <v>206</v>
      </c>
      <c r="N82">
        <v>789.280029296875</v>
      </c>
    </row>
    <row r="83" spans="13:14" x14ac:dyDescent="0.3">
      <c r="M83" s="3" t="s">
        <v>166</v>
      </c>
      <c r="N83">
        <v>2289.77001953125</v>
      </c>
    </row>
    <row r="84" spans="13:14" x14ac:dyDescent="0.3">
      <c r="M84" s="3" t="s">
        <v>144</v>
      </c>
      <c r="N84">
        <v>526.79998779296875</v>
      </c>
    </row>
    <row r="85" spans="13:14" x14ac:dyDescent="0.3">
      <c r="M85" s="3" t="s">
        <v>202</v>
      </c>
      <c r="N85">
        <v>1534.52001953125</v>
      </c>
    </row>
    <row r="86" spans="13:14" x14ac:dyDescent="0.3">
      <c r="M86" s="3" t="s">
        <v>97</v>
      </c>
      <c r="N86">
        <v>1217.6999816894531</v>
      </c>
    </row>
    <row r="87" spans="13:14" x14ac:dyDescent="0.3">
      <c r="M87" s="3" t="s">
        <v>137</v>
      </c>
      <c r="N87">
        <v>3258.169921875</v>
      </c>
    </row>
    <row r="88" spans="13:14" x14ac:dyDescent="0.3">
      <c r="M88" s="3" t="s">
        <v>127</v>
      </c>
      <c r="N88">
        <v>875.780029296875</v>
      </c>
    </row>
    <row r="89" spans="13:14" x14ac:dyDescent="0.3">
      <c r="M89" s="3" t="s">
        <v>163</v>
      </c>
      <c r="N89">
        <v>1039.489990234375</v>
      </c>
    </row>
    <row r="90" spans="13:14" x14ac:dyDescent="0.3">
      <c r="M90" s="3" t="s">
        <v>88</v>
      </c>
      <c r="N90">
        <v>858.989990234375</v>
      </c>
    </row>
    <row r="91" spans="13:14" x14ac:dyDescent="0.3">
      <c r="M91" s="3" t="s">
        <v>29</v>
      </c>
      <c r="N91">
        <v>617.72998046875</v>
      </c>
    </row>
    <row r="92" spans="13:14" x14ac:dyDescent="0.3">
      <c r="M92" s="3" t="s">
        <v>156</v>
      </c>
      <c r="N92">
        <v>2150.0500030517578</v>
      </c>
    </row>
    <row r="93" spans="13:14" x14ac:dyDescent="0.3">
      <c r="M93" s="3" t="s">
        <v>174</v>
      </c>
      <c r="N93">
        <v>1102.2900390625</v>
      </c>
    </row>
    <row r="94" spans="13:14" x14ac:dyDescent="0.3">
      <c r="M94" s="3" t="s">
        <v>37</v>
      </c>
      <c r="N94">
        <v>1082.9399871826172</v>
      </c>
    </row>
    <row r="95" spans="13:14" x14ac:dyDescent="0.3">
      <c r="M95" s="3" t="s">
        <v>164</v>
      </c>
      <c r="N95">
        <v>644.97998046875</v>
      </c>
    </row>
    <row r="96" spans="13:14" x14ac:dyDescent="0.3">
      <c r="M96" s="3" t="s">
        <v>65</v>
      </c>
      <c r="N96">
        <v>833.52999877929688</v>
      </c>
    </row>
    <row r="97" spans="13:14" x14ac:dyDescent="0.3">
      <c r="M97" s="3" t="s">
        <v>96</v>
      </c>
      <c r="N97">
        <v>4615.4901123046875</v>
      </c>
    </row>
    <row r="98" spans="13:14" x14ac:dyDescent="0.3">
      <c r="M98" s="3" t="s">
        <v>81</v>
      </c>
      <c r="N98">
        <v>4281.7100830078125</v>
      </c>
    </row>
    <row r="99" spans="13:14" x14ac:dyDescent="0.3">
      <c r="M99" s="3" t="s">
        <v>153</v>
      </c>
      <c r="N99">
        <v>2284.9100341796875</v>
      </c>
    </row>
    <row r="100" spans="13:14" x14ac:dyDescent="0.3">
      <c r="M100" s="3" t="s">
        <v>143</v>
      </c>
      <c r="N100">
        <v>2056.9500122070313</v>
      </c>
    </row>
    <row r="101" spans="13:14" x14ac:dyDescent="0.3">
      <c r="M101" s="3" t="s">
        <v>159</v>
      </c>
      <c r="N101">
        <v>1737.06005859375</v>
      </c>
    </row>
    <row r="102" spans="13:14" x14ac:dyDescent="0.3">
      <c r="M102" s="3" t="s">
        <v>207</v>
      </c>
      <c r="N102">
        <v>484.92001342773438</v>
      </c>
    </row>
    <row r="103" spans="13:14" x14ac:dyDescent="0.3">
      <c r="M103" s="3" t="s">
        <v>41</v>
      </c>
      <c r="N103">
        <v>1986.5</v>
      </c>
    </row>
    <row r="104" spans="13:14" x14ac:dyDescent="0.3">
      <c r="M104" s="3" t="s">
        <v>208</v>
      </c>
      <c r="N104">
        <v>265.3900146484375</v>
      </c>
    </row>
    <row r="105" spans="13:14" x14ac:dyDescent="0.3">
      <c r="M105" s="3" t="s">
        <v>74</v>
      </c>
      <c r="N105">
        <v>1240.0400390625</v>
      </c>
    </row>
    <row r="106" spans="13:14" x14ac:dyDescent="0.3">
      <c r="M106" s="3" t="s">
        <v>57</v>
      </c>
      <c r="N106">
        <v>3016.9200057983398</v>
      </c>
    </row>
    <row r="107" spans="13:14" x14ac:dyDescent="0.3">
      <c r="M107" s="3" t="s">
        <v>92</v>
      </c>
      <c r="N107">
        <v>1502.239990234375</v>
      </c>
    </row>
    <row r="108" spans="13:14" x14ac:dyDescent="0.3">
      <c r="M108" s="3" t="s">
        <v>141</v>
      </c>
      <c r="N108">
        <v>794.3800048828125</v>
      </c>
    </row>
    <row r="109" spans="13:14" x14ac:dyDescent="0.3">
      <c r="M109" s="3" t="s">
        <v>138</v>
      </c>
      <c r="N109">
        <v>1925.8899993896484</v>
      </c>
    </row>
    <row r="110" spans="13:14" x14ac:dyDescent="0.3">
      <c r="M110" s="3" t="s">
        <v>150</v>
      </c>
      <c r="N110">
        <v>2980.030029296875</v>
      </c>
    </row>
    <row r="111" spans="13:14" x14ac:dyDescent="0.3">
      <c r="M111" s="3" t="s">
        <v>171</v>
      </c>
      <c r="N111">
        <v>95.94000244140625</v>
      </c>
    </row>
    <row r="112" spans="13:14" x14ac:dyDescent="0.3">
      <c r="M112" s="3" t="s">
        <v>95</v>
      </c>
      <c r="N112">
        <v>558.94000244140625</v>
      </c>
    </row>
    <row r="113" spans="13:14" x14ac:dyDescent="0.3">
      <c r="M113" s="3" t="s">
        <v>86</v>
      </c>
      <c r="N113">
        <v>1195.6599731445313</v>
      </c>
    </row>
    <row r="114" spans="13:14" x14ac:dyDescent="0.3">
      <c r="M114" s="3" t="s">
        <v>16</v>
      </c>
      <c r="N114">
        <v>108.05999755859375</v>
      </c>
    </row>
    <row r="115" spans="13:14" x14ac:dyDescent="0.3">
      <c r="M115" s="3" t="s">
        <v>71</v>
      </c>
      <c r="N115">
        <v>1734.5199718475342</v>
      </c>
    </row>
    <row r="116" spans="13:14" x14ac:dyDescent="0.3">
      <c r="M116" s="3" t="s">
        <v>72</v>
      </c>
      <c r="N116">
        <v>2324.2799835205078</v>
      </c>
    </row>
    <row r="117" spans="13:14" x14ac:dyDescent="0.3">
      <c r="M117" s="3" t="s">
        <v>109</v>
      </c>
      <c r="N117">
        <v>472.260009765625</v>
      </c>
    </row>
    <row r="118" spans="13:14" x14ac:dyDescent="0.3">
      <c r="M118" s="3" t="s">
        <v>198</v>
      </c>
      <c r="N118">
        <v>3644.9901123046875</v>
      </c>
    </row>
    <row r="119" spans="13:14" x14ac:dyDescent="0.3">
      <c r="M119" s="3" t="s">
        <v>158</v>
      </c>
      <c r="N119">
        <v>1568.68994140625</v>
      </c>
    </row>
    <row r="120" spans="13:14" x14ac:dyDescent="0.3">
      <c r="M120" s="3" t="s">
        <v>175</v>
      </c>
      <c r="N120">
        <v>789.6199951171875</v>
      </c>
    </row>
    <row r="121" spans="13:14" x14ac:dyDescent="0.3">
      <c r="M121" s="3" t="s">
        <v>199</v>
      </c>
      <c r="N121">
        <v>1331.8900146484375</v>
      </c>
    </row>
    <row r="122" spans="13:14" x14ac:dyDescent="0.3">
      <c r="M122" s="3" t="s">
        <v>172</v>
      </c>
      <c r="N122">
        <v>2398.010009765625</v>
      </c>
    </row>
    <row r="123" spans="13:14" x14ac:dyDescent="0.3">
      <c r="M123" s="3" t="s">
        <v>135</v>
      </c>
      <c r="N123">
        <v>165.78999328613281</v>
      </c>
    </row>
    <row r="124" spans="13:14" x14ac:dyDescent="0.3">
      <c r="M124" s="3" t="s">
        <v>59</v>
      </c>
      <c r="N124">
        <v>4032.9700469970703</v>
      </c>
    </row>
    <row r="125" spans="13:14" x14ac:dyDescent="0.3">
      <c r="M125" s="3" t="s">
        <v>54</v>
      </c>
      <c r="N125">
        <v>1540.6799926757813</v>
      </c>
    </row>
    <row r="126" spans="13:14" x14ac:dyDescent="0.3">
      <c r="M126" s="3" t="s">
        <v>19</v>
      </c>
      <c r="N126">
        <v>159.66000366210938</v>
      </c>
    </row>
    <row r="127" spans="13:14" x14ac:dyDescent="0.3">
      <c r="M127" s="3" t="s">
        <v>8</v>
      </c>
      <c r="N127">
        <v>1386.469970703125</v>
      </c>
    </row>
    <row r="128" spans="13:14" x14ac:dyDescent="0.3">
      <c r="M128" s="3" t="s">
        <v>179</v>
      </c>
      <c r="N128">
        <v>726.74998474121094</v>
      </c>
    </row>
    <row r="129" spans="13:14" x14ac:dyDescent="0.3">
      <c r="M129" s="3" t="s">
        <v>182</v>
      </c>
      <c r="N129">
        <v>1202.699951171875</v>
      </c>
    </row>
    <row r="130" spans="13:14" x14ac:dyDescent="0.3">
      <c r="M130" s="3" t="s">
        <v>132</v>
      </c>
      <c r="N130">
        <v>589.65997314453125</v>
      </c>
    </row>
    <row r="131" spans="13:14" x14ac:dyDescent="0.3">
      <c r="M131" s="3" t="s">
        <v>55</v>
      </c>
      <c r="N131">
        <v>1837.2500152587891</v>
      </c>
    </row>
    <row r="132" spans="13:14" x14ac:dyDescent="0.3">
      <c r="M132" s="3" t="s">
        <v>77</v>
      </c>
      <c r="N132">
        <v>4460.0101318359375</v>
      </c>
    </row>
    <row r="133" spans="13:14" x14ac:dyDescent="0.3">
      <c r="M133" s="3" t="s">
        <v>146</v>
      </c>
      <c r="N133">
        <v>610.760009765625</v>
      </c>
    </row>
    <row r="134" spans="13:14" x14ac:dyDescent="0.3">
      <c r="M134" s="3" t="s">
        <v>193</v>
      </c>
      <c r="N134">
        <v>2368.8999633789063</v>
      </c>
    </row>
    <row r="135" spans="13:14" x14ac:dyDescent="0.3">
      <c r="M135" s="3" t="s">
        <v>192</v>
      </c>
      <c r="N135">
        <v>2129.47998046875</v>
      </c>
    </row>
    <row r="136" spans="13:14" x14ac:dyDescent="0.3">
      <c r="M136" s="3" t="s">
        <v>191</v>
      </c>
      <c r="N136">
        <v>1449.1099853515625</v>
      </c>
    </row>
    <row r="137" spans="13:14" x14ac:dyDescent="0.3">
      <c r="M137" s="3" t="s">
        <v>195</v>
      </c>
      <c r="N137">
        <v>281.17999267578125</v>
      </c>
    </row>
    <row r="138" spans="13:14" x14ac:dyDescent="0.3">
      <c r="M138" s="3" t="s">
        <v>68</v>
      </c>
      <c r="N138">
        <v>2340.7099609375</v>
      </c>
    </row>
    <row r="139" spans="13:14" x14ac:dyDescent="0.3">
      <c r="M139" s="3" t="s">
        <v>149</v>
      </c>
      <c r="N139">
        <v>1490.6300048828125</v>
      </c>
    </row>
    <row r="140" spans="13:14" x14ac:dyDescent="0.3">
      <c r="M140" s="3" t="s">
        <v>140</v>
      </c>
      <c r="N140">
        <v>610.73001098632813</v>
      </c>
    </row>
    <row r="141" spans="13:14" x14ac:dyDescent="0.3">
      <c r="M141" s="3" t="s">
        <v>165</v>
      </c>
      <c r="N141">
        <v>453.30001068115234</v>
      </c>
    </row>
    <row r="142" spans="13:14" x14ac:dyDescent="0.3">
      <c r="M142" s="3" t="s">
        <v>157</v>
      </c>
      <c r="N142">
        <v>1025.25</v>
      </c>
    </row>
    <row r="143" spans="13:14" x14ac:dyDescent="0.3">
      <c r="M143" s="3" t="s">
        <v>102</v>
      </c>
      <c r="N143">
        <v>3335.22998046875</v>
      </c>
    </row>
    <row r="144" spans="13:14" x14ac:dyDescent="0.3">
      <c r="M144" s="3" t="s">
        <v>210</v>
      </c>
      <c r="N144">
        <v>242186.31009864807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1AD84-BB53-4BF6-A676-6226DE97C87E}">
  <dimension ref="A1:J15"/>
  <sheetViews>
    <sheetView workbookViewId="0">
      <selection activeCell="C24" sqref="C24"/>
    </sheetView>
  </sheetViews>
  <sheetFormatPr defaultRowHeight="14.4" x14ac:dyDescent="0.3"/>
  <cols>
    <col min="1" max="1" width="37" customWidth="1"/>
    <col min="2" max="2" width="15.5546875" bestFit="1" customWidth="1"/>
    <col min="3" max="3" width="10" bestFit="1" customWidth="1"/>
    <col min="5" max="5" width="25.88671875" customWidth="1"/>
    <col min="6" max="6" width="24.109375" customWidth="1"/>
  </cols>
  <sheetData>
    <row r="1" spans="1:10" ht="18" x14ac:dyDescent="0.35">
      <c r="A1" s="14" t="s">
        <v>289</v>
      </c>
    </row>
    <row r="2" spans="1:10" x14ac:dyDescent="0.3">
      <c r="A2" s="2" t="s">
        <v>7</v>
      </c>
      <c r="B2" t="s">
        <v>288</v>
      </c>
    </row>
    <row r="4" spans="1:10" x14ac:dyDescent="0.3">
      <c r="A4" s="2" t="s">
        <v>2</v>
      </c>
      <c r="B4" s="2" t="s">
        <v>0</v>
      </c>
      <c r="C4" t="s">
        <v>287</v>
      </c>
      <c r="E4" s="17"/>
    </row>
    <row r="5" spans="1:10" x14ac:dyDescent="0.3">
      <c r="A5" t="s">
        <v>105</v>
      </c>
      <c r="B5" s="1">
        <v>44573</v>
      </c>
      <c r="C5" s="15">
        <v>763.30999755859375</v>
      </c>
    </row>
    <row r="6" spans="1:10" ht="24" customHeight="1" x14ac:dyDescent="0.3">
      <c r="A6" t="s">
        <v>38</v>
      </c>
      <c r="B6" s="1">
        <v>44297</v>
      </c>
      <c r="C6" s="15">
        <v>150.77000427246094</v>
      </c>
      <c r="E6" s="18" t="s">
        <v>7</v>
      </c>
      <c r="F6" s="18" t="s">
        <v>290</v>
      </c>
    </row>
    <row r="7" spans="1:10" x14ac:dyDescent="0.3">
      <c r="A7" t="s">
        <v>45</v>
      </c>
      <c r="B7" s="1">
        <v>44494</v>
      </c>
      <c r="C7" s="15">
        <v>317.239990234375</v>
      </c>
      <c r="E7" s="19" t="s">
        <v>15</v>
      </c>
      <c r="F7" s="21">
        <v>172</v>
      </c>
    </row>
    <row r="8" spans="1:10" x14ac:dyDescent="0.3">
      <c r="A8" t="s">
        <v>27</v>
      </c>
      <c r="C8" s="15">
        <v>684.39999389648438</v>
      </c>
      <c r="E8" s="19" t="s">
        <v>11</v>
      </c>
      <c r="F8" s="21">
        <v>34</v>
      </c>
    </row>
    <row r="9" spans="1:10" x14ac:dyDescent="0.3">
      <c r="A9" t="s">
        <v>9</v>
      </c>
      <c r="B9" s="1">
        <v>44788</v>
      </c>
      <c r="C9" s="15">
        <v>650.8499755859375</v>
      </c>
      <c r="E9" s="19" t="s">
        <v>23</v>
      </c>
      <c r="F9" s="21">
        <v>17</v>
      </c>
    </row>
    <row r="10" spans="1:10" x14ac:dyDescent="0.3">
      <c r="A10" t="s">
        <v>30</v>
      </c>
      <c r="B10" s="1">
        <v>44993</v>
      </c>
      <c r="C10" s="15">
        <v>1568.68994140625</v>
      </c>
      <c r="E10" s="19" t="s">
        <v>67</v>
      </c>
      <c r="F10" s="21">
        <v>15</v>
      </c>
      <c r="J10" s="16"/>
    </row>
    <row r="11" spans="1:10" x14ac:dyDescent="0.3">
      <c r="A11" t="s">
        <v>75</v>
      </c>
      <c r="B11" s="1">
        <v>44788</v>
      </c>
      <c r="C11" s="15">
        <v>558.94000244140625</v>
      </c>
      <c r="E11" s="20" t="s">
        <v>28</v>
      </c>
      <c r="F11" s="22">
        <v>12</v>
      </c>
    </row>
    <row r="12" spans="1:10" x14ac:dyDescent="0.3">
      <c r="A12" t="s">
        <v>89</v>
      </c>
      <c r="B12" s="1">
        <v>44339</v>
      </c>
      <c r="C12" s="15">
        <v>166.55000305175781</v>
      </c>
    </row>
    <row r="13" spans="1:10" ht="15.6" x14ac:dyDescent="0.3">
      <c r="A13" t="s">
        <v>40</v>
      </c>
      <c r="B13" s="1">
        <v>45069</v>
      </c>
      <c r="C13" s="15">
        <v>1791.22998046875</v>
      </c>
      <c r="E13" s="23" t="s">
        <v>291</v>
      </c>
    </row>
    <row r="14" spans="1:10" x14ac:dyDescent="0.3">
      <c r="A14" t="s">
        <v>64</v>
      </c>
      <c r="B14" s="1">
        <v>44387</v>
      </c>
      <c r="C14" s="15">
        <v>489.89999389648438</v>
      </c>
      <c r="E14" s="24" t="s">
        <v>292</v>
      </c>
    </row>
    <row r="15" spans="1:10" x14ac:dyDescent="0.3">
      <c r="A15" t="s">
        <v>56</v>
      </c>
      <c r="B15" s="1">
        <v>45163</v>
      </c>
      <c r="C15" s="15">
        <v>2084.3701171875</v>
      </c>
      <c r="E15" s="24" t="s">
        <v>293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72B263-BB77-497D-888E-87CA6B2DD4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AmazonDB</vt:lpstr>
      <vt:lpstr>Dashboard</vt:lpstr>
      <vt:lpstr>All_Pivots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 mohammed</dc:creator>
  <cp:lastModifiedBy>salma mohammed</cp:lastModifiedBy>
  <dcterms:created xsi:type="dcterms:W3CDTF">2026-04-27T18:04:37Z</dcterms:created>
  <dcterms:modified xsi:type="dcterms:W3CDTF">2026-04-28T17:43:27Z</dcterms:modified>
</cp:coreProperties>
</file>